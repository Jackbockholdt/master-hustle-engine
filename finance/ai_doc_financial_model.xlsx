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Monthly Model" sheetId="2" state="visible" r:id="rId4"/>
    <sheet name="Annual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1" authorId="0">
      <text>
        <r>
          <rPr>
            <sz val="10"/>
            <rFont val="Arial"/>
            <family val="2"/>
          </rPr>
          <t xml:space="preserve">Pulled from Assumptions valuation input.</t>
        </r>
      </text>
    </comment>
  </commentList>
</comments>
</file>

<file path=xl/sharedStrings.xml><?xml version="1.0" encoding="utf-8"?>
<sst xmlns="http://schemas.openxmlformats.org/spreadsheetml/2006/main" count="147" uniqueCount="104">
  <si>
    <t xml:space="preserve">White-Label AI Infrastructure License</t>
  </si>
  <si>
    <t xml:space="preserve">Financial Model — Assumptions &amp; Scenario Levers</t>
  </si>
  <si>
    <t xml:space="preserve">HOW TO USE THIS MODEL</t>
  </si>
  <si>
    <t xml:space="preserve">Blue cells are inputs — change them to run a scenario. Black cells are formulas. Do not overwrite black cells.</t>
  </si>
  <si>
    <t xml:space="preserve">Yellow-filled cells are the key levers to stress-test first.</t>
  </si>
  <si>
    <t xml:space="preserve">PRODUCT &amp; PRICING</t>
  </si>
  <si>
    <t xml:space="preserve">Notes</t>
  </si>
  <si>
    <t xml:space="preserve">License price ($/customer/month)</t>
  </si>
  <si>
    <t xml:space="preserve">Per CLAUDE.md: White-Label AI Infrastructure License list price.</t>
  </si>
  <si>
    <t xml:space="preserve">Setup fee ($/new customer, one-time)</t>
  </si>
  <si>
    <t xml:space="preserve">Option A: one-time setup fee collected when a new license is signed. Added 2026-07-23.</t>
  </si>
  <si>
    <t xml:space="preserve">Codebase buyout price ($, one-time)</t>
  </si>
  <si>
    <t xml:space="preserve">Option B: full codebase / IP buyout. Reference only — an alternative to the recurring build modeled below, not added to it.</t>
  </si>
  <si>
    <t xml:space="preserve">CUSTOMER GROWTH</t>
  </si>
  <si>
    <t xml:space="preserve">Starting customers (Month 0)</t>
  </si>
  <si>
    <t xml:space="preserve">Model starts from zero paying licenses.</t>
  </si>
  <si>
    <t xml:space="preserve">New customers / month — Year 1</t>
  </si>
  <si>
    <t xml:space="preserve">Gross new licenses signed per month. Conservative for a single-founder cold-outreach engine.</t>
  </si>
  <si>
    <t xml:space="preserve">New customers / month — Year 2</t>
  </si>
  <si>
    <t xml:space="preserve">Assumes outreach engine + word-of-mouth roughly double the run rate.</t>
  </si>
  <si>
    <t xml:space="preserve">New customers / month — Year 3</t>
  </si>
  <si>
    <t xml:space="preserve">Continued ramp. Still modest vs. a funded sales team.</t>
  </si>
  <si>
    <t xml:space="preserve">Monthly logo churn</t>
  </si>
  <si>
    <t xml:space="preserve">4%/mo (~39%/yr). Realistic for early SMB SaaS; the single biggest lever on long-run size.</t>
  </si>
  <si>
    <t xml:space="preserve">COST STRUCTURE</t>
  </si>
  <si>
    <t xml:space="preserve">Variable COGS ($/customer/month)</t>
  </si>
  <si>
    <t xml:space="preserve">API/inference (Gemini), per-customer support &amp; onboarding allocation.</t>
  </si>
  <si>
    <t xml:space="preserve">Fixed infrastructure ($/month)</t>
  </si>
  <si>
    <t xml:space="preserve">Render service + Gmail relay + base tooling, independent of customer count.</t>
  </si>
  <si>
    <t xml:space="preserve">Payment processing (% of revenue)</t>
  </si>
  <si>
    <t xml:space="preserve">Stripe blended fee.</t>
  </si>
  <si>
    <t xml:space="preserve">Customer acquisition cost ($/new customer)</t>
  </si>
  <si>
    <t xml:space="preserve">Blended cost per signed license (outreach tooling, ad spend, time). Low because acquisition is automated.</t>
  </si>
  <si>
    <t xml:space="preserve">Fixed operating expenses ($/month)</t>
  </si>
  <si>
    <t xml:space="preserve">Software subscriptions, misc. overhead.</t>
  </si>
  <si>
    <t xml:space="preserve">Founder / owner draw ($/month)</t>
  </si>
  <si>
    <t xml:space="preserve">Real cost of the owner's time (~$96k/yr). A model that ignores this overstates profit. Set to 0 to see pre-salary economics.</t>
  </si>
  <si>
    <t xml:space="preserve">Starting cash ($)</t>
  </si>
  <si>
    <t xml:space="preserve">Cash on hand at Month 0.</t>
  </si>
  <si>
    <t xml:space="preserve">VALUATION (ILLUSTRATIVE)</t>
  </si>
  <si>
    <t xml:space="preserve">Exit multiple (EV / ending ARR)</t>
  </si>
  <si>
    <t xml:space="preserve">Illustrative private-SaaS ARR multiple. ~39%/yr churn would compress a real multiple toward the low end. NOT a strategic-acquirer premium — see disclaimer on Summary tab.</t>
  </si>
  <si>
    <t xml:space="preserve">Monthly Financial Model — 36 Months</t>
  </si>
  <si>
    <t xml:space="preserve">All figures monthly unless noted. Driven entirely by the Assumptions tab.</t>
  </si>
  <si>
    <t xml:space="preserve">Year</t>
  </si>
  <si>
    <t xml:space="preserve">Y1</t>
  </si>
  <si>
    <t xml:space="preserve">Y2</t>
  </si>
  <si>
    <t xml:space="preserve">Y3</t>
  </si>
  <si>
    <t xml:space="preserve">Month</t>
  </si>
  <si>
    <t xml:space="preserve">CUSTOMERS</t>
  </si>
  <si>
    <t xml:space="preserve">Beginning customers</t>
  </si>
  <si>
    <t xml:space="preserve">New customers (gross adds)</t>
  </si>
  <si>
    <t xml:space="preserve">Churned customers</t>
  </si>
  <si>
    <t xml:space="preserve">Ending customers</t>
  </si>
  <si>
    <t xml:space="preserve">REVENUE</t>
  </si>
  <si>
    <t xml:space="preserve">Recurring (MRR, ending)</t>
  </si>
  <si>
    <t xml:space="preserve">Setup fees (new signings)</t>
  </si>
  <si>
    <t xml:space="preserve">Total revenue</t>
  </si>
  <si>
    <t xml:space="preserve">COST OF GOODS SOLD</t>
  </si>
  <si>
    <t xml:space="preserve">Variable COGS</t>
  </si>
  <si>
    <t xml:space="preserve">Fixed infrastructure</t>
  </si>
  <si>
    <t xml:space="preserve">Payment processing</t>
  </si>
  <si>
    <t xml:space="preserve">Total COGS</t>
  </si>
  <si>
    <t xml:space="preserve">Gross profit</t>
  </si>
  <si>
    <t xml:space="preserve">Gross margin %</t>
  </si>
  <si>
    <t xml:space="preserve">OPERATING EXPENSES</t>
  </si>
  <si>
    <t xml:space="preserve">Customer acquisition</t>
  </si>
  <si>
    <t xml:space="preserve">Founder / owner draw</t>
  </si>
  <si>
    <t xml:space="preserve">Fixed operating expenses</t>
  </si>
  <si>
    <t xml:space="preserve">Total OpEx</t>
  </si>
  <si>
    <t xml:space="preserve">PROFITABILITY &amp; CASH</t>
  </si>
  <si>
    <t xml:space="preserve">EBITDA</t>
  </si>
  <si>
    <t xml:space="preserve">EBITDA margin %</t>
  </si>
  <si>
    <t xml:space="preserve">Beginning cash</t>
  </si>
  <si>
    <t xml:space="preserve">Ending cash</t>
  </si>
  <si>
    <t xml:space="preserve">Annual Summary &amp; Illustrative Valuation</t>
  </si>
  <si>
    <t xml:space="preserve">Rolled up from the Monthly Model tab.</t>
  </si>
  <si>
    <t xml:space="preserve">($ per year unless noted)</t>
  </si>
  <si>
    <t xml:space="preserve">Year 1</t>
  </si>
  <si>
    <t xml:space="preserve">Year 2</t>
  </si>
  <si>
    <t xml:space="preserve">Year 3</t>
  </si>
  <si>
    <t xml:space="preserve">KEY UNIT ECONOMICS (per customer)</t>
  </si>
  <si>
    <t xml:space="preserve">New customers signed</t>
  </si>
  <si>
    <t xml:space="preserve">Avg customer lifetime (months)</t>
  </si>
  <si>
    <t xml:space="preserve">Monthly recurring contribution</t>
  </si>
  <si>
    <t xml:space="preserve">Ending ARR</t>
  </si>
  <si>
    <t xml:space="preserve">Recurring LTV (contribution)</t>
  </si>
  <si>
    <t xml:space="preserve">Setup-fee contribution (one-time)</t>
  </si>
  <si>
    <t xml:space="preserve">P&amp;L</t>
  </si>
  <si>
    <t xml:space="preserve">Total LTV / customer</t>
  </si>
  <si>
    <t xml:space="preserve">Revenue</t>
  </si>
  <si>
    <t xml:space="preserve">CAC (per new customer)</t>
  </si>
  <si>
    <t xml:space="preserve">LTV : CAC ratio</t>
  </si>
  <si>
    <t xml:space="preserve">CAC payback (months, recurring)</t>
  </si>
  <si>
    <t xml:space="preserve">Setup fee ($2,500) covers CAC on day one; recurring payback shown is pre-setup.</t>
  </si>
  <si>
    <t xml:space="preserve">ILLUSTRATIVE VALUATION (YEAR 3)</t>
  </si>
  <si>
    <t xml:space="preserve">BUYER BREAK-EVEN (resale math)</t>
  </si>
  <si>
    <t xml:space="preserve">Ending ARR (Year 3)</t>
  </si>
  <si>
    <t xml:space="preserve">Clients @ $500/mo to cover $1,500/mo</t>
  </si>
  <si>
    <t xml:space="preserve">Exit multiple (EV / ARR)</t>
  </si>
  <si>
    <t xml:space="preserve">Months to recover $2,500 setup (1 extra client)</t>
  </si>
  <si>
    <t xml:space="preserve">Implied enterprise value</t>
  </si>
  <si>
    <t xml:space="preserve">DISCLAIMER</t>
  </si>
  <si>
    <t xml:space="preserve">This valuation is illustrative only. It multiplies modeled Year-3 ARR by a generic private-SaaS revenue multiple (an input you can change on the Assumptions tab). It is NOT an offer, and it is NOT a strategic-acquirer / 'sell to Apple' outcome — the README's big-corp exit scenario is not supported by any of these numbers. At this scale the realistic buyer is another operator or a small PE roll-up, and the ~39%/yr logo churn assumed here would pull a real multiple toward the low end of the range. Treat the implied value as a directional sanity check on the business you are actually building, not a price tag.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</si>
</sst>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#,##0;\(#,##0\);\-"/>
    <numFmt numFmtId="167" formatCode="0.0%"/>
    <numFmt numFmtId="168" formatCode="0.0\x"/>
    <numFmt numFmtId="169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8" customFormat="false" ht="15" hidden="false" customHeight="false" outlineLevel="0" collapsed="false">
      <c r="B8" s="5" t="s">
        <v>5</v>
      </c>
      <c r="C8" s="5"/>
      <c r="D8" s="5" t="s">
        <v>6</v>
      </c>
    </row>
    <row r="9" customFormat="false" ht="15" hidden="false" customHeight="false" outlineLevel="0" collapsed="false">
      <c r="B9" s="4" t="s">
        <v>7</v>
      </c>
      <c r="C9" s="6" t="n">
        <v>1500</v>
      </c>
      <c r="D9" s="2" t="s">
        <v>8</v>
      </c>
    </row>
    <row r="10" customFormat="false" ht="15" hidden="false" customHeight="false" outlineLevel="0" collapsed="false">
      <c r="B10" s="4" t="s">
        <v>9</v>
      </c>
      <c r="C10" s="6" t="n">
        <v>2500</v>
      </c>
      <c r="D10" s="2" t="s">
        <v>10</v>
      </c>
    </row>
    <row r="11" customFormat="false" ht="15" hidden="false" customHeight="false" outlineLevel="0" collapsed="false">
      <c r="B11" s="4" t="s">
        <v>11</v>
      </c>
      <c r="C11" s="7" t="n">
        <v>25000</v>
      </c>
      <c r="D11" s="2" t="s">
        <v>12</v>
      </c>
    </row>
    <row r="13" customFormat="false" ht="15" hidden="false" customHeight="false" outlineLevel="0" collapsed="false">
      <c r="B13" s="5" t="s">
        <v>13</v>
      </c>
      <c r="C13" s="5"/>
      <c r="D13" s="5" t="s">
        <v>6</v>
      </c>
    </row>
    <row r="14" customFormat="false" ht="15" hidden="false" customHeight="false" outlineLevel="0" collapsed="false">
      <c r="B14" s="4" t="s">
        <v>14</v>
      </c>
      <c r="C14" s="8" t="n">
        <v>0</v>
      </c>
      <c r="D14" s="2" t="s">
        <v>15</v>
      </c>
    </row>
    <row r="15" customFormat="false" ht="15" hidden="false" customHeight="false" outlineLevel="0" collapsed="false">
      <c r="B15" s="4" t="s">
        <v>16</v>
      </c>
      <c r="C15" s="9" t="n">
        <v>2</v>
      </c>
      <c r="D15" s="2" t="s">
        <v>17</v>
      </c>
    </row>
    <row r="16" customFormat="false" ht="15" hidden="false" customHeight="false" outlineLevel="0" collapsed="false">
      <c r="B16" s="4" t="s">
        <v>18</v>
      </c>
      <c r="C16" s="9" t="n">
        <v>4</v>
      </c>
      <c r="D16" s="2" t="s">
        <v>19</v>
      </c>
    </row>
    <row r="17" customFormat="false" ht="15" hidden="false" customHeight="false" outlineLevel="0" collapsed="false">
      <c r="B17" s="4" t="s">
        <v>20</v>
      </c>
      <c r="C17" s="9" t="n">
        <v>6</v>
      </c>
      <c r="D17" s="2" t="s">
        <v>21</v>
      </c>
    </row>
    <row r="18" customFormat="false" ht="15" hidden="false" customHeight="false" outlineLevel="0" collapsed="false">
      <c r="B18" s="4" t="s">
        <v>22</v>
      </c>
      <c r="C18" s="10" t="n">
        <v>0.04</v>
      </c>
      <c r="D18" s="2" t="s">
        <v>23</v>
      </c>
    </row>
    <row r="20" customFormat="false" ht="15" hidden="false" customHeight="false" outlineLevel="0" collapsed="false">
      <c r="B20" s="5" t="s">
        <v>24</v>
      </c>
      <c r="C20" s="5"/>
      <c r="D20" s="5" t="s">
        <v>6</v>
      </c>
    </row>
    <row r="21" customFormat="false" ht="15" hidden="false" customHeight="false" outlineLevel="0" collapsed="false">
      <c r="B21" s="4" t="s">
        <v>25</v>
      </c>
      <c r="C21" s="7" t="n">
        <v>60</v>
      </c>
      <c r="D21" s="2" t="s">
        <v>26</v>
      </c>
    </row>
    <row r="22" customFormat="false" ht="15" hidden="false" customHeight="false" outlineLevel="0" collapsed="false">
      <c r="B22" s="4" t="s">
        <v>27</v>
      </c>
      <c r="C22" s="7" t="n">
        <v>50</v>
      </c>
      <c r="D22" s="2" t="s">
        <v>28</v>
      </c>
    </row>
    <row r="23" customFormat="false" ht="15" hidden="false" customHeight="false" outlineLevel="0" collapsed="false">
      <c r="B23" s="4" t="s">
        <v>29</v>
      </c>
      <c r="C23" s="11" t="n">
        <v>0.03</v>
      </c>
      <c r="D23" s="2" t="s">
        <v>30</v>
      </c>
    </row>
    <row r="24" customFormat="false" ht="15" hidden="false" customHeight="false" outlineLevel="0" collapsed="false">
      <c r="B24" s="4" t="s">
        <v>31</v>
      </c>
      <c r="C24" s="6" t="n">
        <v>300</v>
      </c>
      <c r="D24" s="2" t="s">
        <v>32</v>
      </c>
    </row>
    <row r="25" customFormat="false" ht="15" hidden="false" customHeight="false" outlineLevel="0" collapsed="false">
      <c r="B25" s="4" t="s">
        <v>33</v>
      </c>
      <c r="C25" s="7" t="n">
        <v>500</v>
      </c>
      <c r="D25" s="2" t="s">
        <v>34</v>
      </c>
    </row>
    <row r="26" customFormat="false" ht="15" hidden="false" customHeight="false" outlineLevel="0" collapsed="false">
      <c r="B26" s="4" t="s">
        <v>35</v>
      </c>
      <c r="C26" s="6" t="n">
        <v>8000</v>
      </c>
      <c r="D26" s="2" t="s">
        <v>36</v>
      </c>
    </row>
    <row r="27" customFormat="false" ht="15" hidden="false" customHeight="false" outlineLevel="0" collapsed="false">
      <c r="B27" s="4" t="s">
        <v>37</v>
      </c>
      <c r="C27" s="7" t="n">
        <v>5000</v>
      </c>
      <c r="D27" s="2" t="s">
        <v>38</v>
      </c>
    </row>
    <row r="29" customFormat="false" ht="15" hidden="false" customHeight="false" outlineLevel="0" collapsed="false">
      <c r="B29" s="5" t="s">
        <v>39</v>
      </c>
      <c r="C29" s="5"/>
      <c r="D29" s="5" t="s">
        <v>6</v>
      </c>
    </row>
    <row r="30" customFormat="false" ht="15" hidden="false" customHeight="false" outlineLevel="0" collapsed="false">
      <c r="B30" s="4" t="s">
        <v>40</v>
      </c>
      <c r="C30" s="12" t="n">
        <v>3</v>
      </c>
      <c r="D30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L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8" min="3" style="0" width="10"/>
  </cols>
  <sheetData>
    <row r="1" customFormat="false" ht="17.35" hidden="false" customHeight="false" outlineLevel="0" collapsed="false">
      <c r="B1" s="1" t="s">
        <v>42</v>
      </c>
    </row>
    <row r="2" customFormat="false" ht="15" hidden="false" customHeight="false" outlineLevel="0" collapsed="false">
      <c r="B2" s="2" t="s">
        <v>43</v>
      </c>
    </row>
    <row r="4" customFormat="false" ht="15" hidden="false" customHeight="false" outlineLevel="0" collapsed="false">
      <c r="B4" s="13" t="s">
        <v>44</v>
      </c>
      <c r="C4" s="14" t="s">
        <v>45</v>
      </c>
      <c r="D4" s="14" t="s">
        <v>45</v>
      </c>
      <c r="E4" s="14" t="s">
        <v>45</v>
      </c>
      <c r="F4" s="14" t="s">
        <v>45</v>
      </c>
      <c r="G4" s="14" t="s">
        <v>45</v>
      </c>
      <c r="H4" s="14" t="s">
        <v>45</v>
      </c>
      <c r="I4" s="14" t="s">
        <v>45</v>
      </c>
      <c r="J4" s="14" t="s">
        <v>45</v>
      </c>
      <c r="K4" s="14" t="s">
        <v>45</v>
      </c>
      <c r="L4" s="14" t="s">
        <v>45</v>
      </c>
      <c r="M4" s="14" t="s">
        <v>45</v>
      </c>
      <c r="N4" s="14" t="s">
        <v>45</v>
      </c>
      <c r="O4" s="14" t="s">
        <v>46</v>
      </c>
      <c r="P4" s="14" t="s">
        <v>46</v>
      </c>
      <c r="Q4" s="14" t="s">
        <v>46</v>
      </c>
      <c r="R4" s="14" t="s">
        <v>46</v>
      </c>
      <c r="S4" s="14" t="s">
        <v>46</v>
      </c>
      <c r="T4" s="14" t="s">
        <v>46</v>
      </c>
      <c r="U4" s="14" t="s">
        <v>46</v>
      </c>
      <c r="V4" s="14" t="s">
        <v>46</v>
      </c>
      <c r="W4" s="14" t="s">
        <v>46</v>
      </c>
      <c r="X4" s="14" t="s">
        <v>46</v>
      </c>
      <c r="Y4" s="14" t="s">
        <v>46</v>
      </c>
      <c r="Z4" s="14" t="s">
        <v>46</v>
      </c>
      <c r="AA4" s="14" t="s">
        <v>47</v>
      </c>
      <c r="AB4" s="14" t="s">
        <v>47</v>
      </c>
      <c r="AC4" s="14" t="s">
        <v>47</v>
      </c>
      <c r="AD4" s="14" t="s">
        <v>47</v>
      </c>
      <c r="AE4" s="14" t="s">
        <v>47</v>
      </c>
      <c r="AF4" s="14" t="s">
        <v>47</v>
      </c>
      <c r="AG4" s="14" t="s">
        <v>47</v>
      </c>
      <c r="AH4" s="14" t="s">
        <v>47</v>
      </c>
      <c r="AI4" s="14" t="s">
        <v>47</v>
      </c>
      <c r="AJ4" s="14" t="s">
        <v>47</v>
      </c>
      <c r="AK4" s="14" t="s">
        <v>47</v>
      </c>
      <c r="AL4" s="14" t="s">
        <v>47</v>
      </c>
    </row>
    <row r="5" customFormat="false" ht="15" hidden="false" customHeight="false" outlineLevel="0" collapsed="false">
      <c r="B5" s="13" t="s">
        <v>48</v>
      </c>
      <c r="C5" s="15" t="n">
        <v>1</v>
      </c>
      <c r="D5" s="15" t="n">
        <v>2</v>
      </c>
      <c r="E5" s="15" t="n">
        <v>3</v>
      </c>
      <c r="F5" s="15" t="n">
        <v>4</v>
      </c>
      <c r="G5" s="15" t="n">
        <v>5</v>
      </c>
      <c r="H5" s="15" t="n">
        <v>6</v>
      </c>
      <c r="I5" s="15" t="n">
        <v>7</v>
      </c>
      <c r="J5" s="15" t="n">
        <v>8</v>
      </c>
      <c r="K5" s="15" t="n">
        <v>9</v>
      </c>
      <c r="L5" s="15" t="n">
        <v>10</v>
      </c>
      <c r="M5" s="15" t="n">
        <v>11</v>
      </c>
      <c r="N5" s="15" t="n">
        <v>12</v>
      </c>
      <c r="O5" s="15" t="n">
        <v>13</v>
      </c>
      <c r="P5" s="15" t="n">
        <v>14</v>
      </c>
      <c r="Q5" s="15" t="n">
        <v>15</v>
      </c>
      <c r="R5" s="15" t="n">
        <v>16</v>
      </c>
      <c r="S5" s="15" t="n">
        <v>17</v>
      </c>
      <c r="T5" s="15" t="n">
        <v>18</v>
      </c>
      <c r="U5" s="15" t="n">
        <v>19</v>
      </c>
      <c r="V5" s="15" t="n">
        <v>20</v>
      </c>
      <c r="W5" s="15" t="n">
        <v>21</v>
      </c>
      <c r="X5" s="15" t="n">
        <v>22</v>
      </c>
      <c r="Y5" s="15" t="n">
        <v>23</v>
      </c>
      <c r="Z5" s="15" t="n">
        <v>24</v>
      </c>
      <c r="AA5" s="15" t="n">
        <v>25</v>
      </c>
      <c r="AB5" s="15" t="n">
        <v>26</v>
      </c>
      <c r="AC5" s="15" t="n">
        <v>27</v>
      </c>
      <c r="AD5" s="15" t="n">
        <v>28</v>
      </c>
      <c r="AE5" s="15" t="n">
        <v>29</v>
      </c>
      <c r="AF5" s="15" t="n">
        <v>30</v>
      </c>
      <c r="AG5" s="15" t="n">
        <v>31</v>
      </c>
      <c r="AH5" s="15" t="n">
        <v>32</v>
      </c>
      <c r="AI5" s="15" t="n">
        <v>33</v>
      </c>
      <c r="AJ5" s="15" t="n">
        <v>34</v>
      </c>
      <c r="AK5" s="15" t="n">
        <v>35</v>
      </c>
      <c r="AL5" s="15" t="n">
        <v>36</v>
      </c>
    </row>
    <row r="7" customFormat="false" ht="15" hidden="false" customHeight="false" outlineLevel="0" collapsed="false">
      <c r="B7" s="16" t="s">
        <v>49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</row>
    <row r="8" customFormat="false" ht="15" hidden="false" customHeight="false" outlineLevel="0" collapsed="false">
      <c r="B8" s="4" t="s">
        <v>50</v>
      </c>
      <c r="C8" s="18" t="n">
        <f aca="false">Assumptions!$C$14</f>
        <v>0</v>
      </c>
      <c r="D8" s="19" t="n">
        <f aca="false">C11</f>
        <v>2</v>
      </c>
      <c r="E8" s="19" t="n">
        <f aca="false">D11</f>
        <v>3.9</v>
      </c>
      <c r="F8" s="19" t="n">
        <f aca="false">E11</f>
        <v>5.7</v>
      </c>
      <c r="G8" s="19" t="n">
        <f aca="false">F11</f>
        <v>7.5</v>
      </c>
      <c r="H8" s="19" t="n">
        <f aca="false">G11</f>
        <v>9.2</v>
      </c>
      <c r="I8" s="19" t="n">
        <f aca="false">H11</f>
        <v>10.8</v>
      </c>
      <c r="J8" s="19" t="n">
        <f aca="false">I11</f>
        <v>12.4</v>
      </c>
      <c r="K8" s="19" t="n">
        <f aca="false">J11</f>
        <v>13.9</v>
      </c>
      <c r="L8" s="19" t="n">
        <f aca="false">K11</f>
        <v>15.3</v>
      </c>
      <c r="M8" s="19" t="n">
        <f aca="false">L11</f>
        <v>16.7</v>
      </c>
      <c r="N8" s="19" t="n">
        <f aca="false">M11</f>
        <v>18</v>
      </c>
      <c r="O8" s="19" t="n">
        <f aca="false">N11</f>
        <v>19.3</v>
      </c>
      <c r="P8" s="19" t="n">
        <f aca="false">O11</f>
        <v>22.5</v>
      </c>
      <c r="Q8" s="19" t="n">
        <f aca="false">P11</f>
        <v>25.6</v>
      </c>
      <c r="R8" s="19" t="n">
        <f aca="false">Q11</f>
        <v>28.6</v>
      </c>
      <c r="S8" s="19" t="n">
        <f aca="false">R11</f>
        <v>31.5</v>
      </c>
      <c r="T8" s="19" t="n">
        <f aca="false">S11</f>
        <v>34.2</v>
      </c>
      <c r="U8" s="19" t="n">
        <f aca="false">T11</f>
        <v>36.8</v>
      </c>
      <c r="V8" s="19" t="n">
        <f aca="false">U11</f>
        <v>39.3</v>
      </c>
      <c r="W8" s="19" t="n">
        <f aca="false">V11</f>
        <v>41.7</v>
      </c>
      <c r="X8" s="19" t="n">
        <f aca="false">W11</f>
        <v>44</v>
      </c>
      <c r="Y8" s="19" t="n">
        <f aca="false">X11</f>
        <v>46.2</v>
      </c>
      <c r="Z8" s="19" t="n">
        <f aca="false">Y11</f>
        <v>48.4</v>
      </c>
      <c r="AA8" s="19" t="n">
        <f aca="false">Z11</f>
        <v>50.5</v>
      </c>
      <c r="AB8" s="19" t="n">
        <f aca="false">AA11</f>
        <v>54.5</v>
      </c>
      <c r="AC8" s="19" t="n">
        <f aca="false">AB11</f>
        <v>58.3</v>
      </c>
      <c r="AD8" s="19" t="n">
        <f aca="false">AC11</f>
        <v>62</v>
      </c>
      <c r="AE8" s="19" t="n">
        <f aca="false">AD11</f>
        <v>65.5</v>
      </c>
      <c r="AF8" s="19" t="n">
        <f aca="false">AE11</f>
        <v>68.9</v>
      </c>
      <c r="AG8" s="19" t="n">
        <f aca="false">AF11</f>
        <v>72.1</v>
      </c>
      <c r="AH8" s="19" t="n">
        <f aca="false">AG11</f>
        <v>75.2</v>
      </c>
      <c r="AI8" s="19" t="n">
        <f aca="false">AH11</f>
        <v>78.2</v>
      </c>
      <c r="AJ8" s="19" t="n">
        <f aca="false">AI11</f>
        <v>81.1</v>
      </c>
      <c r="AK8" s="19" t="n">
        <f aca="false">AJ11</f>
        <v>83.9</v>
      </c>
      <c r="AL8" s="19" t="n">
        <f aca="false">AK11</f>
        <v>86.5</v>
      </c>
    </row>
    <row r="9" customFormat="false" ht="15" hidden="false" customHeight="false" outlineLevel="0" collapsed="false">
      <c r="B9" s="4" t="s">
        <v>51</v>
      </c>
      <c r="C9" s="19" t="n">
        <f aca="false">IF(C$5&lt;=12,Assumptions!$C$15,IF(C$5&lt;=24,Assumptions!$C$16,Assumptions!$C$17))</f>
        <v>2</v>
      </c>
      <c r="D9" s="19" t="n">
        <f aca="false">IF(D$5&lt;=12,Assumptions!$C$15,IF(D$5&lt;=24,Assumptions!$C$16,Assumptions!$C$17))</f>
        <v>2</v>
      </c>
      <c r="E9" s="19" t="n">
        <f aca="false">IF(E$5&lt;=12,Assumptions!$C$15,IF(E$5&lt;=24,Assumptions!$C$16,Assumptions!$C$17))</f>
        <v>2</v>
      </c>
      <c r="F9" s="19" t="n">
        <f aca="false">IF(F$5&lt;=12,Assumptions!$C$15,IF(F$5&lt;=24,Assumptions!$C$16,Assumptions!$C$17))</f>
        <v>2</v>
      </c>
      <c r="G9" s="19" t="n">
        <f aca="false">IF(G$5&lt;=12,Assumptions!$C$15,IF(G$5&lt;=24,Assumptions!$C$16,Assumptions!$C$17))</f>
        <v>2</v>
      </c>
      <c r="H9" s="19" t="n">
        <f aca="false">IF(H$5&lt;=12,Assumptions!$C$15,IF(H$5&lt;=24,Assumptions!$C$16,Assumptions!$C$17))</f>
        <v>2</v>
      </c>
      <c r="I9" s="19" t="n">
        <f aca="false">IF(I$5&lt;=12,Assumptions!$C$15,IF(I$5&lt;=24,Assumptions!$C$16,Assumptions!$C$17))</f>
        <v>2</v>
      </c>
      <c r="J9" s="19" t="n">
        <f aca="false">IF(J$5&lt;=12,Assumptions!$C$15,IF(J$5&lt;=24,Assumptions!$C$16,Assumptions!$C$17))</f>
        <v>2</v>
      </c>
      <c r="K9" s="19" t="n">
        <f aca="false">IF(K$5&lt;=12,Assumptions!$C$15,IF(K$5&lt;=24,Assumptions!$C$16,Assumptions!$C$17))</f>
        <v>2</v>
      </c>
      <c r="L9" s="19" t="n">
        <f aca="false">IF(L$5&lt;=12,Assumptions!$C$15,IF(L$5&lt;=24,Assumptions!$C$16,Assumptions!$C$17))</f>
        <v>2</v>
      </c>
      <c r="M9" s="19" t="n">
        <f aca="false">IF(M$5&lt;=12,Assumptions!$C$15,IF(M$5&lt;=24,Assumptions!$C$16,Assumptions!$C$17))</f>
        <v>2</v>
      </c>
      <c r="N9" s="19" t="n">
        <f aca="false">IF(N$5&lt;=12,Assumptions!$C$15,IF(N$5&lt;=24,Assumptions!$C$16,Assumptions!$C$17))</f>
        <v>2</v>
      </c>
      <c r="O9" s="19" t="n">
        <f aca="false">IF(O$5&lt;=12,Assumptions!$C$15,IF(O$5&lt;=24,Assumptions!$C$16,Assumptions!$C$17))</f>
        <v>4</v>
      </c>
      <c r="P9" s="19" t="n">
        <f aca="false">IF(P$5&lt;=12,Assumptions!$C$15,IF(P$5&lt;=24,Assumptions!$C$16,Assumptions!$C$17))</f>
        <v>4</v>
      </c>
      <c r="Q9" s="19" t="n">
        <f aca="false">IF(Q$5&lt;=12,Assumptions!$C$15,IF(Q$5&lt;=24,Assumptions!$C$16,Assumptions!$C$17))</f>
        <v>4</v>
      </c>
      <c r="R9" s="19" t="n">
        <f aca="false">IF(R$5&lt;=12,Assumptions!$C$15,IF(R$5&lt;=24,Assumptions!$C$16,Assumptions!$C$17))</f>
        <v>4</v>
      </c>
      <c r="S9" s="19" t="n">
        <f aca="false">IF(S$5&lt;=12,Assumptions!$C$15,IF(S$5&lt;=24,Assumptions!$C$16,Assumptions!$C$17))</f>
        <v>4</v>
      </c>
      <c r="T9" s="19" t="n">
        <f aca="false">IF(T$5&lt;=12,Assumptions!$C$15,IF(T$5&lt;=24,Assumptions!$C$16,Assumptions!$C$17))</f>
        <v>4</v>
      </c>
      <c r="U9" s="19" t="n">
        <f aca="false">IF(U$5&lt;=12,Assumptions!$C$15,IF(U$5&lt;=24,Assumptions!$C$16,Assumptions!$C$17))</f>
        <v>4</v>
      </c>
      <c r="V9" s="19" t="n">
        <f aca="false">IF(V$5&lt;=12,Assumptions!$C$15,IF(V$5&lt;=24,Assumptions!$C$16,Assumptions!$C$17))</f>
        <v>4</v>
      </c>
      <c r="W9" s="19" t="n">
        <f aca="false">IF(W$5&lt;=12,Assumptions!$C$15,IF(W$5&lt;=24,Assumptions!$C$16,Assumptions!$C$17))</f>
        <v>4</v>
      </c>
      <c r="X9" s="19" t="n">
        <f aca="false">IF(X$5&lt;=12,Assumptions!$C$15,IF(X$5&lt;=24,Assumptions!$C$16,Assumptions!$C$17))</f>
        <v>4</v>
      </c>
      <c r="Y9" s="19" t="n">
        <f aca="false">IF(Y$5&lt;=12,Assumptions!$C$15,IF(Y$5&lt;=24,Assumptions!$C$16,Assumptions!$C$17))</f>
        <v>4</v>
      </c>
      <c r="Z9" s="19" t="n">
        <f aca="false">IF(Z$5&lt;=12,Assumptions!$C$15,IF(Z$5&lt;=24,Assumptions!$C$16,Assumptions!$C$17))</f>
        <v>4</v>
      </c>
      <c r="AA9" s="19" t="n">
        <f aca="false">IF(AA$5&lt;=12,Assumptions!$C$15,IF(AA$5&lt;=24,Assumptions!$C$16,Assumptions!$C$17))</f>
        <v>6</v>
      </c>
      <c r="AB9" s="19" t="n">
        <f aca="false">IF(AB$5&lt;=12,Assumptions!$C$15,IF(AB$5&lt;=24,Assumptions!$C$16,Assumptions!$C$17))</f>
        <v>6</v>
      </c>
      <c r="AC9" s="19" t="n">
        <f aca="false">IF(AC$5&lt;=12,Assumptions!$C$15,IF(AC$5&lt;=24,Assumptions!$C$16,Assumptions!$C$17))</f>
        <v>6</v>
      </c>
      <c r="AD9" s="19" t="n">
        <f aca="false">IF(AD$5&lt;=12,Assumptions!$C$15,IF(AD$5&lt;=24,Assumptions!$C$16,Assumptions!$C$17))</f>
        <v>6</v>
      </c>
      <c r="AE9" s="19" t="n">
        <f aca="false">IF(AE$5&lt;=12,Assumptions!$C$15,IF(AE$5&lt;=24,Assumptions!$C$16,Assumptions!$C$17))</f>
        <v>6</v>
      </c>
      <c r="AF9" s="19" t="n">
        <f aca="false">IF(AF$5&lt;=12,Assumptions!$C$15,IF(AF$5&lt;=24,Assumptions!$C$16,Assumptions!$C$17))</f>
        <v>6</v>
      </c>
      <c r="AG9" s="19" t="n">
        <f aca="false">IF(AG$5&lt;=12,Assumptions!$C$15,IF(AG$5&lt;=24,Assumptions!$C$16,Assumptions!$C$17))</f>
        <v>6</v>
      </c>
      <c r="AH9" s="19" t="n">
        <f aca="false">IF(AH$5&lt;=12,Assumptions!$C$15,IF(AH$5&lt;=24,Assumptions!$C$16,Assumptions!$C$17))</f>
        <v>6</v>
      </c>
      <c r="AI9" s="19" t="n">
        <f aca="false">IF(AI$5&lt;=12,Assumptions!$C$15,IF(AI$5&lt;=24,Assumptions!$C$16,Assumptions!$C$17))</f>
        <v>6</v>
      </c>
      <c r="AJ9" s="19" t="n">
        <f aca="false">IF(AJ$5&lt;=12,Assumptions!$C$15,IF(AJ$5&lt;=24,Assumptions!$C$16,Assumptions!$C$17))</f>
        <v>6</v>
      </c>
      <c r="AK9" s="19" t="n">
        <f aca="false">IF(AK$5&lt;=12,Assumptions!$C$15,IF(AK$5&lt;=24,Assumptions!$C$16,Assumptions!$C$17))</f>
        <v>6</v>
      </c>
      <c r="AL9" s="19" t="n">
        <f aca="false">IF(AL$5&lt;=12,Assumptions!$C$15,IF(AL$5&lt;=24,Assumptions!$C$16,Assumptions!$C$17))</f>
        <v>6</v>
      </c>
    </row>
    <row r="10" customFormat="false" ht="15" hidden="false" customHeight="false" outlineLevel="0" collapsed="false">
      <c r="B10" s="4" t="s">
        <v>52</v>
      </c>
      <c r="C10" s="19" t="n">
        <f aca="false">ROUND(C8*Assumptions!$C$18,1)</f>
        <v>0</v>
      </c>
      <c r="D10" s="19" t="n">
        <f aca="false">ROUND(D8*Assumptions!$C$18,1)</f>
        <v>0.1</v>
      </c>
      <c r="E10" s="19" t="n">
        <f aca="false">ROUND(E8*Assumptions!$C$18,1)</f>
        <v>0.2</v>
      </c>
      <c r="F10" s="19" t="n">
        <f aca="false">ROUND(F8*Assumptions!$C$18,1)</f>
        <v>0.2</v>
      </c>
      <c r="G10" s="19" t="n">
        <f aca="false">ROUND(G8*Assumptions!$C$18,1)</f>
        <v>0.3</v>
      </c>
      <c r="H10" s="19" t="n">
        <f aca="false">ROUND(H8*Assumptions!$C$18,1)</f>
        <v>0.4</v>
      </c>
      <c r="I10" s="19" t="n">
        <f aca="false">ROUND(I8*Assumptions!$C$18,1)</f>
        <v>0.4</v>
      </c>
      <c r="J10" s="19" t="n">
        <f aca="false">ROUND(J8*Assumptions!$C$18,1)</f>
        <v>0.5</v>
      </c>
      <c r="K10" s="19" t="n">
        <f aca="false">ROUND(K8*Assumptions!$C$18,1)</f>
        <v>0.6</v>
      </c>
      <c r="L10" s="19" t="n">
        <f aca="false">ROUND(L8*Assumptions!$C$18,1)</f>
        <v>0.6</v>
      </c>
      <c r="M10" s="19" t="n">
        <f aca="false">ROUND(M8*Assumptions!$C$18,1)</f>
        <v>0.7</v>
      </c>
      <c r="N10" s="19" t="n">
        <f aca="false">ROUND(N8*Assumptions!$C$18,1)</f>
        <v>0.7</v>
      </c>
      <c r="O10" s="19" t="n">
        <f aca="false">ROUND(O8*Assumptions!$C$18,1)</f>
        <v>0.8</v>
      </c>
      <c r="P10" s="19" t="n">
        <f aca="false">ROUND(P8*Assumptions!$C$18,1)</f>
        <v>0.9</v>
      </c>
      <c r="Q10" s="19" t="n">
        <f aca="false">ROUND(Q8*Assumptions!$C$18,1)</f>
        <v>1</v>
      </c>
      <c r="R10" s="19" t="n">
        <f aca="false">ROUND(R8*Assumptions!$C$18,1)</f>
        <v>1.1</v>
      </c>
      <c r="S10" s="19" t="n">
        <f aca="false">ROUND(S8*Assumptions!$C$18,1)</f>
        <v>1.3</v>
      </c>
      <c r="T10" s="19" t="n">
        <f aca="false">ROUND(T8*Assumptions!$C$18,1)</f>
        <v>1.4</v>
      </c>
      <c r="U10" s="19" t="n">
        <f aca="false">ROUND(U8*Assumptions!$C$18,1)</f>
        <v>1.5</v>
      </c>
      <c r="V10" s="19" t="n">
        <f aca="false">ROUND(V8*Assumptions!$C$18,1)</f>
        <v>1.6</v>
      </c>
      <c r="W10" s="19" t="n">
        <f aca="false">ROUND(W8*Assumptions!$C$18,1)</f>
        <v>1.7</v>
      </c>
      <c r="X10" s="19" t="n">
        <f aca="false">ROUND(X8*Assumptions!$C$18,1)</f>
        <v>1.8</v>
      </c>
      <c r="Y10" s="19" t="n">
        <f aca="false">ROUND(Y8*Assumptions!$C$18,1)</f>
        <v>1.8</v>
      </c>
      <c r="Z10" s="19" t="n">
        <f aca="false">ROUND(Z8*Assumptions!$C$18,1)</f>
        <v>1.9</v>
      </c>
      <c r="AA10" s="19" t="n">
        <f aca="false">ROUND(AA8*Assumptions!$C$18,1)</f>
        <v>2</v>
      </c>
      <c r="AB10" s="19" t="n">
        <f aca="false">ROUND(AB8*Assumptions!$C$18,1)</f>
        <v>2.2</v>
      </c>
      <c r="AC10" s="19" t="n">
        <f aca="false">ROUND(AC8*Assumptions!$C$18,1)</f>
        <v>2.3</v>
      </c>
      <c r="AD10" s="19" t="n">
        <f aca="false">ROUND(AD8*Assumptions!$C$18,1)</f>
        <v>2.5</v>
      </c>
      <c r="AE10" s="19" t="n">
        <f aca="false">ROUND(AE8*Assumptions!$C$18,1)</f>
        <v>2.6</v>
      </c>
      <c r="AF10" s="19" t="n">
        <f aca="false">ROUND(AF8*Assumptions!$C$18,1)</f>
        <v>2.8</v>
      </c>
      <c r="AG10" s="19" t="n">
        <f aca="false">ROUND(AG8*Assumptions!$C$18,1)</f>
        <v>2.9</v>
      </c>
      <c r="AH10" s="19" t="n">
        <f aca="false">ROUND(AH8*Assumptions!$C$18,1)</f>
        <v>3</v>
      </c>
      <c r="AI10" s="19" t="n">
        <f aca="false">ROUND(AI8*Assumptions!$C$18,1)</f>
        <v>3.1</v>
      </c>
      <c r="AJ10" s="19" t="n">
        <f aca="false">ROUND(AJ8*Assumptions!$C$18,1)</f>
        <v>3.2</v>
      </c>
      <c r="AK10" s="19" t="n">
        <f aca="false">ROUND(AK8*Assumptions!$C$18,1)</f>
        <v>3.4</v>
      </c>
      <c r="AL10" s="19" t="n">
        <f aca="false">ROUND(AL8*Assumptions!$C$18,1)</f>
        <v>3.5</v>
      </c>
    </row>
    <row r="11" customFormat="false" ht="15" hidden="false" customHeight="false" outlineLevel="0" collapsed="false">
      <c r="B11" s="13" t="s">
        <v>53</v>
      </c>
      <c r="C11" s="20" t="n">
        <f aca="false">C8+C9-C10</f>
        <v>2</v>
      </c>
      <c r="D11" s="20" t="n">
        <f aca="false">D8+D9-D10</f>
        <v>3.9</v>
      </c>
      <c r="E11" s="20" t="n">
        <f aca="false">E8+E9-E10</f>
        <v>5.7</v>
      </c>
      <c r="F11" s="20" t="n">
        <f aca="false">F8+F9-F10</f>
        <v>7.5</v>
      </c>
      <c r="G11" s="20" t="n">
        <f aca="false">G8+G9-G10</f>
        <v>9.2</v>
      </c>
      <c r="H11" s="20" t="n">
        <f aca="false">H8+H9-H10</f>
        <v>10.8</v>
      </c>
      <c r="I11" s="20" t="n">
        <f aca="false">I8+I9-I10</f>
        <v>12.4</v>
      </c>
      <c r="J11" s="20" t="n">
        <f aca="false">J8+J9-J10</f>
        <v>13.9</v>
      </c>
      <c r="K11" s="20" t="n">
        <f aca="false">K8+K9-K10</f>
        <v>15.3</v>
      </c>
      <c r="L11" s="20" t="n">
        <f aca="false">L8+L9-L10</f>
        <v>16.7</v>
      </c>
      <c r="M11" s="20" t="n">
        <f aca="false">M8+M9-M10</f>
        <v>18</v>
      </c>
      <c r="N11" s="20" t="n">
        <f aca="false">N8+N9-N10</f>
        <v>19.3</v>
      </c>
      <c r="O11" s="20" t="n">
        <f aca="false">O8+O9-O10</f>
        <v>22.5</v>
      </c>
      <c r="P11" s="20" t="n">
        <f aca="false">P8+P9-P10</f>
        <v>25.6</v>
      </c>
      <c r="Q11" s="20" t="n">
        <f aca="false">Q8+Q9-Q10</f>
        <v>28.6</v>
      </c>
      <c r="R11" s="20" t="n">
        <f aca="false">R8+R9-R10</f>
        <v>31.5</v>
      </c>
      <c r="S11" s="20" t="n">
        <f aca="false">S8+S9-S10</f>
        <v>34.2</v>
      </c>
      <c r="T11" s="20" t="n">
        <f aca="false">T8+T9-T10</f>
        <v>36.8</v>
      </c>
      <c r="U11" s="20" t="n">
        <f aca="false">U8+U9-U10</f>
        <v>39.3</v>
      </c>
      <c r="V11" s="20" t="n">
        <f aca="false">V8+V9-V10</f>
        <v>41.7</v>
      </c>
      <c r="W11" s="20" t="n">
        <f aca="false">W8+W9-W10</f>
        <v>44</v>
      </c>
      <c r="X11" s="20" t="n">
        <f aca="false">X8+X9-X10</f>
        <v>46.2</v>
      </c>
      <c r="Y11" s="20" t="n">
        <f aca="false">Y8+Y9-Y10</f>
        <v>48.4</v>
      </c>
      <c r="Z11" s="20" t="n">
        <f aca="false">Z8+Z9-Z10</f>
        <v>50.5</v>
      </c>
      <c r="AA11" s="20" t="n">
        <f aca="false">AA8+AA9-AA10</f>
        <v>54.5</v>
      </c>
      <c r="AB11" s="20" t="n">
        <f aca="false">AB8+AB9-AB10</f>
        <v>58.3</v>
      </c>
      <c r="AC11" s="20" t="n">
        <f aca="false">AC8+AC9-AC10</f>
        <v>62</v>
      </c>
      <c r="AD11" s="20" t="n">
        <f aca="false">AD8+AD9-AD10</f>
        <v>65.5</v>
      </c>
      <c r="AE11" s="20" t="n">
        <f aca="false">AE8+AE9-AE10</f>
        <v>68.9</v>
      </c>
      <c r="AF11" s="20" t="n">
        <f aca="false">AF8+AF9-AF10</f>
        <v>72.1</v>
      </c>
      <c r="AG11" s="20" t="n">
        <f aca="false">AG8+AG9-AG10</f>
        <v>75.2</v>
      </c>
      <c r="AH11" s="20" t="n">
        <f aca="false">AH8+AH9-AH10</f>
        <v>78.2</v>
      </c>
      <c r="AI11" s="20" t="n">
        <f aca="false">AI8+AI9-AI10</f>
        <v>81.1</v>
      </c>
      <c r="AJ11" s="20" t="n">
        <f aca="false">AJ8+AJ9-AJ10</f>
        <v>83.9</v>
      </c>
      <c r="AK11" s="20" t="n">
        <f aca="false">AK8+AK9-AK10</f>
        <v>86.5</v>
      </c>
      <c r="AL11" s="20" t="n">
        <f aca="false">AL8+AL9-AL10</f>
        <v>89</v>
      </c>
    </row>
    <row r="13" customFormat="false" ht="15" hidden="false" customHeight="false" outlineLevel="0" collapsed="false">
      <c r="B13" s="16" t="s">
        <v>54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</row>
    <row r="14" customFormat="false" ht="15" hidden="false" customHeight="false" outlineLevel="0" collapsed="false">
      <c r="B14" s="4" t="s">
        <v>55</v>
      </c>
      <c r="C14" s="21" t="n">
        <f aca="false">C11*Assumptions!$C$9</f>
        <v>3000</v>
      </c>
      <c r="D14" s="21" t="n">
        <f aca="false">D11*Assumptions!$C$9</f>
        <v>5850</v>
      </c>
      <c r="E14" s="21" t="n">
        <f aca="false">E11*Assumptions!$C$9</f>
        <v>8550</v>
      </c>
      <c r="F14" s="21" t="n">
        <f aca="false">F11*Assumptions!$C$9</f>
        <v>11250</v>
      </c>
      <c r="G14" s="21" t="n">
        <f aca="false">G11*Assumptions!$C$9</f>
        <v>13800</v>
      </c>
      <c r="H14" s="21" t="n">
        <f aca="false">H11*Assumptions!$C$9</f>
        <v>16200</v>
      </c>
      <c r="I14" s="21" t="n">
        <f aca="false">I11*Assumptions!$C$9</f>
        <v>18600</v>
      </c>
      <c r="J14" s="21" t="n">
        <f aca="false">J11*Assumptions!$C$9</f>
        <v>20850</v>
      </c>
      <c r="K14" s="21" t="n">
        <f aca="false">K11*Assumptions!$C$9</f>
        <v>22950</v>
      </c>
      <c r="L14" s="21" t="n">
        <f aca="false">L11*Assumptions!$C$9</f>
        <v>25050</v>
      </c>
      <c r="M14" s="21" t="n">
        <f aca="false">M11*Assumptions!$C$9</f>
        <v>27000</v>
      </c>
      <c r="N14" s="21" t="n">
        <f aca="false">N11*Assumptions!$C$9</f>
        <v>28950</v>
      </c>
      <c r="O14" s="21" t="n">
        <f aca="false">O11*Assumptions!$C$9</f>
        <v>33750</v>
      </c>
      <c r="P14" s="21" t="n">
        <f aca="false">P11*Assumptions!$C$9</f>
        <v>38400</v>
      </c>
      <c r="Q14" s="21" t="n">
        <f aca="false">Q11*Assumptions!$C$9</f>
        <v>42900</v>
      </c>
      <c r="R14" s="21" t="n">
        <f aca="false">R11*Assumptions!$C$9</f>
        <v>47250</v>
      </c>
      <c r="S14" s="21" t="n">
        <f aca="false">S11*Assumptions!$C$9</f>
        <v>51300</v>
      </c>
      <c r="T14" s="21" t="n">
        <f aca="false">T11*Assumptions!$C$9</f>
        <v>55200</v>
      </c>
      <c r="U14" s="21" t="n">
        <f aca="false">U11*Assumptions!$C$9</f>
        <v>58950</v>
      </c>
      <c r="V14" s="21" t="n">
        <f aca="false">V11*Assumptions!$C$9</f>
        <v>62550</v>
      </c>
      <c r="W14" s="21" t="n">
        <f aca="false">W11*Assumptions!$C$9</f>
        <v>66000</v>
      </c>
      <c r="X14" s="21" t="n">
        <f aca="false">X11*Assumptions!$C$9</f>
        <v>69300</v>
      </c>
      <c r="Y14" s="21" t="n">
        <f aca="false">Y11*Assumptions!$C$9</f>
        <v>72600</v>
      </c>
      <c r="Z14" s="21" t="n">
        <f aca="false">Z11*Assumptions!$C$9</f>
        <v>75750</v>
      </c>
      <c r="AA14" s="21" t="n">
        <f aca="false">AA11*Assumptions!$C$9</f>
        <v>81750</v>
      </c>
      <c r="AB14" s="21" t="n">
        <f aca="false">AB11*Assumptions!$C$9</f>
        <v>87450</v>
      </c>
      <c r="AC14" s="21" t="n">
        <f aca="false">AC11*Assumptions!$C$9</f>
        <v>93000</v>
      </c>
      <c r="AD14" s="21" t="n">
        <f aca="false">AD11*Assumptions!$C$9</f>
        <v>98250</v>
      </c>
      <c r="AE14" s="21" t="n">
        <f aca="false">AE11*Assumptions!$C$9</f>
        <v>103350</v>
      </c>
      <c r="AF14" s="21" t="n">
        <f aca="false">AF11*Assumptions!$C$9</f>
        <v>108150</v>
      </c>
      <c r="AG14" s="21" t="n">
        <f aca="false">AG11*Assumptions!$C$9</f>
        <v>112800</v>
      </c>
      <c r="AH14" s="21" t="n">
        <f aca="false">AH11*Assumptions!$C$9</f>
        <v>117300</v>
      </c>
      <c r="AI14" s="21" t="n">
        <f aca="false">AI11*Assumptions!$C$9</f>
        <v>121650</v>
      </c>
      <c r="AJ14" s="21" t="n">
        <f aca="false">AJ11*Assumptions!$C$9</f>
        <v>125850</v>
      </c>
      <c r="AK14" s="21" t="n">
        <f aca="false">AK11*Assumptions!$C$9</f>
        <v>129750</v>
      </c>
      <c r="AL14" s="21" t="n">
        <f aca="false">AL11*Assumptions!$C$9</f>
        <v>133500</v>
      </c>
    </row>
    <row r="15" customFormat="false" ht="15" hidden="false" customHeight="false" outlineLevel="0" collapsed="false">
      <c r="B15" s="4" t="s">
        <v>56</v>
      </c>
      <c r="C15" s="21" t="n">
        <f aca="false">C9*Assumptions!$C$10</f>
        <v>5000</v>
      </c>
      <c r="D15" s="21" t="n">
        <f aca="false">D9*Assumptions!$C$10</f>
        <v>5000</v>
      </c>
      <c r="E15" s="21" t="n">
        <f aca="false">E9*Assumptions!$C$10</f>
        <v>5000</v>
      </c>
      <c r="F15" s="21" t="n">
        <f aca="false">F9*Assumptions!$C$10</f>
        <v>5000</v>
      </c>
      <c r="G15" s="21" t="n">
        <f aca="false">G9*Assumptions!$C$10</f>
        <v>5000</v>
      </c>
      <c r="H15" s="21" t="n">
        <f aca="false">H9*Assumptions!$C$10</f>
        <v>5000</v>
      </c>
      <c r="I15" s="21" t="n">
        <f aca="false">I9*Assumptions!$C$10</f>
        <v>5000</v>
      </c>
      <c r="J15" s="21" t="n">
        <f aca="false">J9*Assumptions!$C$10</f>
        <v>5000</v>
      </c>
      <c r="K15" s="21" t="n">
        <f aca="false">K9*Assumptions!$C$10</f>
        <v>5000</v>
      </c>
      <c r="L15" s="21" t="n">
        <f aca="false">L9*Assumptions!$C$10</f>
        <v>5000</v>
      </c>
      <c r="M15" s="21" t="n">
        <f aca="false">M9*Assumptions!$C$10</f>
        <v>5000</v>
      </c>
      <c r="N15" s="21" t="n">
        <f aca="false">N9*Assumptions!$C$10</f>
        <v>5000</v>
      </c>
      <c r="O15" s="21" t="n">
        <f aca="false">O9*Assumptions!$C$10</f>
        <v>10000</v>
      </c>
      <c r="P15" s="21" t="n">
        <f aca="false">P9*Assumptions!$C$10</f>
        <v>10000</v>
      </c>
      <c r="Q15" s="21" t="n">
        <f aca="false">Q9*Assumptions!$C$10</f>
        <v>10000</v>
      </c>
      <c r="R15" s="21" t="n">
        <f aca="false">R9*Assumptions!$C$10</f>
        <v>10000</v>
      </c>
      <c r="S15" s="21" t="n">
        <f aca="false">S9*Assumptions!$C$10</f>
        <v>10000</v>
      </c>
      <c r="T15" s="21" t="n">
        <f aca="false">T9*Assumptions!$C$10</f>
        <v>10000</v>
      </c>
      <c r="U15" s="21" t="n">
        <f aca="false">U9*Assumptions!$C$10</f>
        <v>10000</v>
      </c>
      <c r="V15" s="21" t="n">
        <f aca="false">V9*Assumptions!$C$10</f>
        <v>10000</v>
      </c>
      <c r="W15" s="21" t="n">
        <f aca="false">W9*Assumptions!$C$10</f>
        <v>10000</v>
      </c>
      <c r="X15" s="21" t="n">
        <f aca="false">X9*Assumptions!$C$10</f>
        <v>10000</v>
      </c>
      <c r="Y15" s="21" t="n">
        <f aca="false">Y9*Assumptions!$C$10</f>
        <v>10000</v>
      </c>
      <c r="Z15" s="21" t="n">
        <f aca="false">Z9*Assumptions!$C$10</f>
        <v>10000</v>
      </c>
      <c r="AA15" s="21" t="n">
        <f aca="false">AA9*Assumptions!$C$10</f>
        <v>15000</v>
      </c>
      <c r="AB15" s="21" t="n">
        <f aca="false">AB9*Assumptions!$C$10</f>
        <v>15000</v>
      </c>
      <c r="AC15" s="21" t="n">
        <f aca="false">AC9*Assumptions!$C$10</f>
        <v>15000</v>
      </c>
      <c r="AD15" s="21" t="n">
        <f aca="false">AD9*Assumptions!$C$10</f>
        <v>15000</v>
      </c>
      <c r="AE15" s="21" t="n">
        <f aca="false">AE9*Assumptions!$C$10</f>
        <v>15000</v>
      </c>
      <c r="AF15" s="21" t="n">
        <f aca="false">AF9*Assumptions!$C$10</f>
        <v>15000</v>
      </c>
      <c r="AG15" s="21" t="n">
        <f aca="false">AG9*Assumptions!$C$10</f>
        <v>15000</v>
      </c>
      <c r="AH15" s="21" t="n">
        <f aca="false">AH9*Assumptions!$C$10</f>
        <v>15000</v>
      </c>
      <c r="AI15" s="21" t="n">
        <f aca="false">AI9*Assumptions!$C$10</f>
        <v>15000</v>
      </c>
      <c r="AJ15" s="21" t="n">
        <f aca="false">AJ9*Assumptions!$C$10</f>
        <v>15000</v>
      </c>
      <c r="AK15" s="21" t="n">
        <f aca="false">AK9*Assumptions!$C$10</f>
        <v>15000</v>
      </c>
      <c r="AL15" s="21" t="n">
        <f aca="false">AL9*Assumptions!$C$10</f>
        <v>15000</v>
      </c>
    </row>
    <row r="16" customFormat="false" ht="15" hidden="false" customHeight="false" outlineLevel="0" collapsed="false">
      <c r="B16" s="13" t="s">
        <v>57</v>
      </c>
      <c r="C16" s="22" t="n">
        <f aca="false">C14+C15</f>
        <v>8000</v>
      </c>
      <c r="D16" s="22" t="n">
        <f aca="false">D14+D15</f>
        <v>10850</v>
      </c>
      <c r="E16" s="22" t="n">
        <f aca="false">E14+E15</f>
        <v>13550</v>
      </c>
      <c r="F16" s="22" t="n">
        <f aca="false">F14+F15</f>
        <v>16250</v>
      </c>
      <c r="G16" s="22" t="n">
        <f aca="false">G14+G15</f>
        <v>18800</v>
      </c>
      <c r="H16" s="22" t="n">
        <f aca="false">H14+H15</f>
        <v>21200</v>
      </c>
      <c r="I16" s="22" t="n">
        <f aca="false">I14+I15</f>
        <v>23600</v>
      </c>
      <c r="J16" s="22" t="n">
        <f aca="false">J14+J15</f>
        <v>25850</v>
      </c>
      <c r="K16" s="22" t="n">
        <f aca="false">K14+K15</f>
        <v>27950</v>
      </c>
      <c r="L16" s="22" t="n">
        <f aca="false">L14+L15</f>
        <v>30050</v>
      </c>
      <c r="M16" s="22" t="n">
        <f aca="false">M14+M15</f>
        <v>32000</v>
      </c>
      <c r="N16" s="22" t="n">
        <f aca="false">N14+N15</f>
        <v>33950</v>
      </c>
      <c r="O16" s="22" t="n">
        <f aca="false">O14+O15</f>
        <v>43750</v>
      </c>
      <c r="P16" s="22" t="n">
        <f aca="false">P14+P15</f>
        <v>48400</v>
      </c>
      <c r="Q16" s="22" t="n">
        <f aca="false">Q14+Q15</f>
        <v>52900</v>
      </c>
      <c r="R16" s="22" t="n">
        <f aca="false">R14+R15</f>
        <v>57250</v>
      </c>
      <c r="S16" s="22" t="n">
        <f aca="false">S14+S15</f>
        <v>61300</v>
      </c>
      <c r="T16" s="22" t="n">
        <f aca="false">T14+T15</f>
        <v>65200</v>
      </c>
      <c r="U16" s="22" t="n">
        <f aca="false">U14+U15</f>
        <v>68950</v>
      </c>
      <c r="V16" s="22" t="n">
        <f aca="false">V14+V15</f>
        <v>72550</v>
      </c>
      <c r="W16" s="22" t="n">
        <f aca="false">W14+W15</f>
        <v>76000</v>
      </c>
      <c r="X16" s="22" t="n">
        <f aca="false">X14+X15</f>
        <v>79300</v>
      </c>
      <c r="Y16" s="22" t="n">
        <f aca="false">Y14+Y15</f>
        <v>82600</v>
      </c>
      <c r="Z16" s="22" t="n">
        <f aca="false">Z14+Z15</f>
        <v>85750</v>
      </c>
      <c r="AA16" s="22" t="n">
        <f aca="false">AA14+AA15</f>
        <v>96750</v>
      </c>
      <c r="AB16" s="22" t="n">
        <f aca="false">AB14+AB15</f>
        <v>102450</v>
      </c>
      <c r="AC16" s="22" t="n">
        <f aca="false">AC14+AC15</f>
        <v>108000</v>
      </c>
      <c r="AD16" s="22" t="n">
        <f aca="false">AD14+AD15</f>
        <v>113250</v>
      </c>
      <c r="AE16" s="22" t="n">
        <f aca="false">AE14+AE15</f>
        <v>118350</v>
      </c>
      <c r="AF16" s="22" t="n">
        <f aca="false">AF14+AF15</f>
        <v>123150</v>
      </c>
      <c r="AG16" s="22" t="n">
        <f aca="false">AG14+AG15</f>
        <v>127800</v>
      </c>
      <c r="AH16" s="22" t="n">
        <f aca="false">AH14+AH15</f>
        <v>132300</v>
      </c>
      <c r="AI16" s="22" t="n">
        <f aca="false">AI14+AI15</f>
        <v>136650</v>
      </c>
      <c r="AJ16" s="22" t="n">
        <f aca="false">AJ14+AJ15</f>
        <v>140850</v>
      </c>
      <c r="AK16" s="22" t="n">
        <f aca="false">AK14+AK15</f>
        <v>144750</v>
      </c>
      <c r="AL16" s="22" t="n">
        <f aca="false">AL14+AL15</f>
        <v>148500</v>
      </c>
    </row>
    <row r="18" customFormat="false" ht="15" hidden="false" customHeight="false" outlineLevel="0" collapsed="false">
      <c r="B18" s="16" t="s">
        <v>58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</row>
    <row r="19" customFormat="false" ht="15" hidden="false" customHeight="false" outlineLevel="0" collapsed="false">
      <c r="B19" s="4" t="s">
        <v>59</v>
      </c>
      <c r="C19" s="21" t="n">
        <f aca="false">C11*Assumptions!$C$21</f>
        <v>120</v>
      </c>
      <c r="D19" s="21" t="n">
        <f aca="false">D11*Assumptions!$C$21</f>
        <v>234</v>
      </c>
      <c r="E19" s="21" t="n">
        <f aca="false">E11*Assumptions!$C$21</f>
        <v>342</v>
      </c>
      <c r="F19" s="21" t="n">
        <f aca="false">F11*Assumptions!$C$21</f>
        <v>450</v>
      </c>
      <c r="G19" s="21" t="n">
        <f aca="false">G11*Assumptions!$C$21</f>
        <v>552</v>
      </c>
      <c r="H19" s="21" t="n">
        <f aca="false">H11*Assumptions!$C$21</f>
        <v>648</v>
      </c>
      <c r="I19" s="21" t="n">
        <f aca="false">I11*Assumptions!$C$21</f>
        <v>744</v>
      </c>
      <c r="J19" s="21" t="n">
        <f aca="false">J11*Assumptions!$C$21</f>
        <v>834</v>
      </c>
      <c r="K19" s="21" t="n">
        <f aca="false">K11*Assumptions!$C$21</f>
        <v>918</v>
      </c>
      <c r="L19" s="21" t="n">
        <f aca="false">L11*Assumptions!$C$21</f>
        <v>1002</v>
      </c>
      <c r="M19" s="21" t="n">
        <f aca="false">M11*Assumptions!$C$21</f>
        <v>1080</v>
      </c>
      <c r="N19" s="21" t="n">
        <f aca="false">N11*Assumptions!$C$21</f>
        <v>1158</v>
      </c>
      <c r="O19" s="21" t="n">
        <f aca="false">O11*Assumptions!$C$21</f>
        <v>1350</v>
      </c>
      <c r="P19" s="21" t="n">
        <f aca="false">P11*Assumptions!$C$21</f>
        <v>1536</v>
      </c>
      <c r="Q19" s="21" t="n">
        <f aca="false">Q11*Assumptions!$C$21</f>
        <v>1716</v>
      </c>
      <c r="R19" s="21" t="n">
        <f aca="false">R11*Assumptions!$C$21</f>
        <v>1890</v>
      </c>
      <c r="S19" s="21" t="n">
        <f aca="false">S11*Assumptions!$C$21</f>
        <v>2052</v>
      </c>
      <c r="T19" s="21" t="n">
        <f aca="false">T11*Assumptions!$C$21</f>
        <v>2208</v>
      </c>
      <c r="U19" s="21" t="n">
        <f aca="false">U11*Assumptions!$C$21</f>
        <v>2358</v>
      </c>
      <c r="V19" s="21" t="n">
        <f aca="false">V11*Assumptions!$C$21</f>
        <v>2502</v>
      </c>
      <c r="W19" s="21" t="n">
        <f aca="false">W11*Assumptions!$C$21</f>
        <v>2640</v>
      </c>
      <c r="X19" s="21" t="n">
        <f aca="false">X11*Assumptions!$C$21</f>
        <v>2772</v>
      </c>
      <c r="Y19" s="21" t="n">
        <f aca="false">Y11*Assumptions!$C$21</f>
        <v>2904</v>
      </c>
      <c r="Z19" s="21" t="n">
        <f aca="false">Z11*Assumptions!$C$21</f>
        <v>3030</v>
      </c>
      <c r="AA19" s="21" t="n">
        <f aca="false">AA11*Assumptions!$C$21</f>
        <v>3270</v>
      </c>
      <c r="AB19" s="21" t="n">
        <f aca="false">AB11*Assumptions!$C$21</f>
        <v>3498</v>
      </c>
      <c r="AC19" s="21" t="n">
        <f aca="false">AC11*Assumptions!$C$21</f>
        <v>3720</v>
      </c>
      <c r="AD19" s="21" t="n">
        <f aca="false">AD11*Assumptions!$C$21</f>
        <v>3930</v>
      </c>
      <c r="AE19" s="21" t="n">
        <f aca="false">AE11*Assumptions!$C$21</f>
        <v>4134</v>
      </c>
      <c r="AF19" s="21" t="n">
        <f aca="false">AF11*Assumptions!$C$21</f>
        <v>4326</v>
      </c>
      <c r="AG19" s="21" t="n">
        <f aca="false">AG11*Assumptions!$C$21</f>
        <v>4512</v>
      </c>
      <c r="AH19" s="21" t="n">
        <f aca="false">AH11*Assumptions!$C$21</f>
        <v>4692</v>
      </c>
      <c r="AI19" s="21" t="n">
        <f aca="false">AI11*Assumptions!$C$21</f>
        <v>4866</v>
      </c>
      <c r="AJ19" s="21" t="n">
        <f aca="false">AJ11*Assumptions!$C$21</f>
        <v>5034</v>
      </c>
      <c r="AK19" s="21" t="n">
        <f aca="false">AK11*Assumptions!$C$21</f>
        <v>5190</v>
      </c>
      <c r="AL19" s="21" t="n">
        <f aca="false">AL11*Assumptions!$C$21</f>
        <v>5340</v>
      </c>
    </row>
    <row r="20" customFormat="false" ht="15" hidden="false" customHeight="false" outlineLevel="0" collapsed="false">
      <c r="B20" s="4" t="s">
        <v>60</v>
      </c>
      <c r="C20" s="23" t="n">
        <f aca="false">Assumptions!$C$22</f>
        <v>50</v>
      </c>
      <c r="D20" s="23" t="n">
        <f aca="false">Assumptions!$C$22</f>
        <v>50</v>
      </c>
      <c r="E20" s="23" t="n">
        <f aca="false">Assumptions!$C$22</f>
        <v>50</v>
      </c>
      <c r="F20" s="23" t="n">
        <f aca="false">Assumptions!$C$22</f>
        <v>50</v>
      </c>
      <c r="G20" s="23" t="n">
        <f aca="false">Assumptions!$C$22</f>
        <v>50</v>
      </c>
      <c r="H20" s="23" t="n">
        <f aca="false">Assumptions!$C$22</f>
        <v>50</v>
      </c>
      <c r="I20" s="23" t="n">
        <f aca="false">Assumptions!$C$22</f>
        <v>50</v>
      </c>
      <c r="J20" s="23" t="n">
        <f aca="false">Assumptions!$C$22</f>
        <v>50</v>
      </c>
      <c r="K20" s="23" t="n">
        <f aca="false">Assumptions!$C$22</f>
        <v>50</v>
      </c>
      <c r="L20" s="23" t="n">
        <f aca="false">Assumptions!$C$22</f>
        <v>50</v>
      </c>
      <c r="M20" s="23" t="n">
        <f aca="false">Assumptions!$C$22</f>
        <v>50</v>
      </c>
      <c r="N20" s="23" t="n">
        <f aca="false">Assumptions!$C$22</f>
        <v>50</v>
      </c>
      <c r="O20" s="23" t="n">
        <f aca="false">Assumptions!$C$22</f>
        <v>50</v>
      </c>
      <c r="P20" s="23" t="n">
        <f aca="false">Assumptions!$C$22</f>
        <v>50</v>
      </c>
      <c r="Q20" s="23" t="n">
        <f aca="false">Assumptions!$C$22</f>
        <v>50</v>
      </c>
      <c r="R20" s="23" t="n">
        <f aca="false">Assumptions!$C$22</f>
        <v>50</v>
      </c>
      <c r="S20" s="23" t="n">
        <f aca="false">Assumptions!$C$22</f>
        <v>50</v>
      </c>
      <c r="T20" s="23" t="n">
        <f aca="false">Assumptions!$C$22</f>
        <v>50</v>
      </c>
      <c r="U20" s="23" t="n">
        <f aca="false">Assumptions!$C$22</f>
        <v>50</v>
      </c>
      <c r="V20" s="23" t="n">
        <f aca="false">Assumptions!$C$22</f>
        <v>50</v>
      </c>
      <c r="W20" s="23" t="n">
        <f aca="false">Assumptions!$C$22</f>
        <v>50</v>
      </c>
      <c r="X20" s="23" t="n">
        <f aca="false">Assumptions!$C$22</f>
        <v>50</v>
      </c>
      <c r="Y20" s="23" t="n">
        <f aca="false">Assumptions!$C$22</f>
        <v>50</v>
      </c>
      <c r="Z20" s="23" t="n">
        <f aca="false">Assumptions!$C$22</f>
        <v>50</v>
      </c>
      <c r="AA20" s="23" t="n">
        <f aca="false">Assumptions!$C$22</f>
        <v>50</v>
      </c>
      <c r="AB20" s="23" t="n">
        <f aca="false">Assumptions!$C$22</f>
        <v>50</v>
      </c>
      <c r="AC20" s="23" t="n">
        <f aca="false">Assumptions!$C$22</f>
        <v>50</v>
      </c>
      <c r="AD20" s="23" t="n">
        <f aca="false">Assumptions!$C$22</f>
        <v>50</v>
      </c>
      <c r="AE20" s="23" t="n">
        <f aca="false">Assumptions!$C$22</f>
        <v>50</v>
      </c>
      <c r="AF20" s="23" t="n">
        <f aca="false">Assumptions!$C$22</f>
        <v>50</v>
      </c>
      <c r="AG20" s="23" t="n">
        <f aca="false">Assumptions!$C$22</f>
        <v>50</v>
      </c>
      <c r="AH20" s="23" t="n">
        <f aca="false">Assumptions!$C$22</f>
        <v>50</v>
      </c>
      <c r="AI20" s="23" t="n">
        <f aca="false">Assumptions!$C$22</f>
        <v>50</v>
      </c>
      <c r="AJ20" s="23" t="n">
        <f aca="false">Assumptions!$C$22</f>
        <v>50</v>
      </c>
      <c r="AK20" s="23" t="n">
        <f aca="false">Assumptions!$C$22</f>
        <v>50</v>
      </c>
      <c r="AL20" s="23" t="n">
        <f aca="false">Assumptions!$C$22</f>
        <v>50</v>
      </c>
    </row>
    <row r="21" customFormat="false" ht="15" hidden="false" customHeight="false" outlineLevel="0" collapsed="false">
      <c r="B21" s="4" t="s">
        <v>61</v>
      </c>
      <c r="C21" s="21" t="n">
        <f aca="false">C16*Assumptions!$C$23</f>
        <v>240</v>
      </c>
      <c r="D21" s="21" t="n">
        <f aca="false">D16*Assumptions!$C$23</f>
        <v>325.5</v>
      </c>
      <c r="E21" s="21" t="n">
        <f aca="false">E16*Assumptions!$C$23</f>
        <v>406.5</v>
      </c>
      <c r="F21" s="21" t="n">
        <f aca="false">F16*Assumptions!$C$23</f>
        <v>487.5</v>
      </c>
      <c r="G21" s="21" t="n">
        <f aca="false">G16*Assumptions!$C$23</f>
        <v>564</v>
      </c>
      <c r="H21" s="21" t="n">
        <f aca="false">H16*Assumptions!$C$23</f>
        <v>636</v>
      </c>
      <c r="I21" s="21" t="n">
        <f aca="false">I16*Assumptions!$C$23</f>
        <v>708</v>
      </c>
      <c r="J21" s="21" t="n">
        <f aca="false">J16*Assumptions!$C$23</f>
        <v>775.5</v>
      </c>
      <c r="K21" s="21" t="n">
        <f aca="false">K16*Assumptions!$C$23</f>
        <v>838.5</v>
      </c>
      <c r="L21" s="21" t="n">
        <f aca="false">L16*Assumptions!$C$23</f>
        <v>901.5</v>
      </c>
      <c r="M21" s="21" t="n">
        <f aca="false">M16*Assumptions!$C$23</f>
        <v>960</v>
      </c>
      <c r="N21" s="21" t="n">
        <f aca="false">N16*Assumptions!$C$23</f>
        <v>1018.5</v>
      </c>
      <c r="O21" s="21" t="n">
        <f aca="false">O16*Assumptions!$C$23</f>
        <v>1312.5</v>
      </c>
      <c r="P21" s="21" t="n">
        <f aca="false">P16*Assumptions!$C$23</f>
        <v>1452</v>
      </c>
      <c r="Q21" s="21" t="n">
        <f aca="false">Q16*Assumptions!$C$23</f>
        <v>1587</v>
      </c>
      <c r="R21" s="21" t="n">
        <f aca="false">R16*Assumptions!$C$23</f>
        <v>1717.5</v>
      </c>
      <c r="S21" s="21" t="n">
        <f aca="false">S16*Assumptions!$C$23</f>
        <v>1839</v>
      </c>
      <c r="T21" s="21" t="n">
        <f aca="false">T16*Assumptions!$C$23</f>
        <v>1956</v>
      </c>
      <c r="U21" s="21" t="n">
        <f aca="false">U16*Assumptions!$C$23</f>
        <v>2068.5</v>
      </c>
      <c r="V21" s="21" t="n">
        <f aca="false">V16*Assumptions!$C$23</f>
        <v>2176.5</v>
      </c>
      <c r="W21" s="21" t="n">
        <f aca="false">W16*Assumptions!$C$23</f>
        <v>2280</v>
      </c>
      <c r="X21" s="21" t="n">
        <f aca="false">X16*Assumptions!$C$23</f>
        <v>2379</v>
      </c>
      <c r="Y21" s="21" t="n">
        <f aca="false">Y16*Assumptions!$C$23</f>
        <v>2478</v>
      </c>
      <c r="Z21" s="21" t="n">
        <f aca="false">Z16*Assumptions!$C$23</f>
        <v>2572.5</v>
      </c>
      <c r="AA21" s="21" t="n">
        <f aca="false">AA16*Assumptions!$C$23</f>
        <v>2902.5</v>
      </c>
      <c r="AB21" s="21" t="n">
        <f aca="false">AB16*Assumptions!$C$23</f>
        <v>3073.5</v>
      </c>
      <c r="AC21" s="21" t="n">
        <f aca="false">AC16*Assumptions!$C$23</f>
        <v>3240</v>
      </c>
      <c r="AD21" s="21" t="n">
        <f aca="false">AD16*Assumptions!$C$23</f>
        <v>3397.5</v>
      </c>
      <c r="AE21" s="21" t="n">
        <f aca="false">AE16*Assumptions!$C$23</f>
        <v>3550.5</v>
      </c>
      <c r="AF21" s="21" t="n">
        <f aca="false">AF16*Assumptions!$C$23</f>
        <v>3694.5</v>
      </c>
      <c r="AG21" s="21" t="n">
        <f aca="false">AG16*Assumptions!$C$23</f>
        <v>3834</v>
      </c>
      <c r="AH21" s="21" t="n">
        <f aca="false">AH16*Assumptions!$C$23</f>
        <v>3969</v>
      </c>
      <c r="AI21" s="21" t="n">
        <f aca="false">AI16*Assumptions!$C$23</f>
        <v>4099.5</v>
      </c>
      <c r="AJ21" s="21" t="n">
        <f aca="false">AJ16*Assumptions!$C$23</f>
        <v>4225.5</v>
      </c>
      <c r="AK21" s="21" t="n">
        <f aca="false">AK16*Assumptions!$C$23</f>
        <v>4342.5</v>
      </c>
      <c r="AL21" s="21" t="n">
        <f aca="false">AL16*Assumptions!$C$23</f>
        <v>4455</v>
      </c>
    </row>
    <row r="22" customFormat="false" ht="15" hidden="false" customHeight="false" outlineLevel="0" collapsed="false">
      <c r="B22" s="13" t="s">
        <v>62</v>
      </c>
      <c r="C22" s="22" t="n">
        <f aca="false">SUM(C19:C21)</f>
        <v>410</v>
      </c>
      <c r="D22" s="22" t="n">
        <f aca="false">SUM(D19:D21)</f>
        <v>609.5</v>
      </c>
      <c r="E22" s="22" t="n">
        <f aca="false">SUM(E19:E21)</f>
        <v>798.5</v>
      </c>
      <c r="F22" s="22" t="n">
        <f aca="false">SUM(F19:F21)</f>
        <v>987.5</v>
      </c>
      <c r="G22" s="22" t="n">
        <f aca="false">SUM(G19:G21)</f>
        <v>1166</v>
      </c>
      <c r="H22" s="22" t="n">
        <f aca="false">SUM(H19:H21)</f>
        <v>1334</v>
      </c>
      <c r="I22" s="22" t="n">
        <f aca="false">SUM(I19:I21)</f>
        <v>1502</v>
      </c>
      <c r="J22" s="22" t="n">
        <f aca="false">SUM(J19:J21)</f>
        <v>1659.5</v>
      </c>
      <c r="K22" s="22" t="n">
        <f aca="false">SUM(K19:K21)</f>
        <v>1806.5</v>
      </c>
      <c r="L22" s="22" t="n">
        <f aca="false">SUM(L19:L21)</f>
        <v>1953.5</v>
      </c>
      <c r="M22" s="22" t="n">
        <f aca="false">SUM(M19:M21)</f>
        <v>2090</v>
      </c>
      <c r="N22" s="22" t="n">
        <f aca="false">SUM(N19:N21)</f>
        <v>2226.5</v>
      </c>
      <c r="O22" s="22" t="n">
        <f aca="false">SUM(O19:O21)</f>
        <v>2712.5</v>
      </c>
      <c r="P22" s="22" t="n">
        <f aca="false">SUM(P19:P21)</f>
        <v>3038</v>
      </c>
      <c r="Q22" s="22" t="n">
        <f aca="false">SUM(Q19:Q21)</f>
        <v>3353</v>
      </c>
      <c r="R22" s="22" t="n">
        <f aca="false">SUM(R19:R21)</f>
        <v>3657.5</v>
      </c>
      <c r="S22" s="22" t="n">
        <f aca="false">SUM(S19:S21)</f>
        <v>3941</v>
      </c>
      <c r="T22" s="22" t="n">
        <f aca="false">SUM(T19:T21)</f>
        <v>4214</v>
      </c>
      <c r="U22" s="22" t="n">
        <f aca="false">SUM(U19:U21)</f>
        <v>4476.5</v>
      </c>
      <c r="V22" s="22" t="n">
        <f aca="false">SUM(V19:V21)</f>
        <v>4728.5</v>
      </c>
      <c r="W22" s="22" t="n">
        <f aca="false">SUM(W19:W21)</f>
        <v>4970</v>
      </c>
      <c r="X22" s="22" t="n">
        <f aca="false">SUM(X19:X21)</f>
        <v>5201</v>
      </c>
      <c r="Y22" s="22" t="n">
        <f aca="false">SUM(Y19:Y21)</f>
        <v>5432</v>
      </c>
      <c r="Z22" s="22" t="n">
        <f aca="false">SUM(Z19:Z21)</f>
        <v>5652.5</v>
      </c>
      <c r="AA22" s="22" t="n">
        <f aca="false">SUM(AA19:AA21)</f>
        <v>6222.5</v>
      </c>
      <c r="AB22" s="22" t="n">
        <f aca="false">SUM(AB19:AB21)</f>
        <v>6621.5</v>
      </c>
      <c r="AC22" s="22" t="n">
        <f aca="false">SUM(AC19:AC21)</f>
        <v>7010</v>
      </c>
      <c r="AD22" s="22" t="n">
        <f aca="false">SUM(AD19:AD21)</f>
        <v>7377.5</v>
      </c>
      <c r="AE22" s="22" t="n">
        <f aca="false">SUM(AE19:AE21)</f>
        <v>7734.5</v>
      </c>
      <c r="AF22" s="22" t="n">
        <f aca="false">SUM(AF19:AF21)</f>
        <v>8070.5</v>
      </c>
      <c r="AG22" s="22" t="n">
        <f aca="false">SUM(AG19:AG21)</f>
        <v>8396</v>
      </c>
      <c r="AH22" s="22" t="n">
        <f aca="false">SUM(AH19:AH21)</f>
        <v>8711</v>
      </c>
      <c r="AI22" s="22" t="n">
        <f aca="false">SUM(AI19:AI21)</f>
        <v>9015.5</v>
      </c>
      <c r="AJ22" s="22" t="n">
        <f aca="false">SUM(AJ19:AJ21)</f>
        <v>9309.5</v>
      </c>
      <c r="AK22" s="22" t="n">
        <f aca="false">SUM(AK19:AK21)</f>
        <v>9582.5</v>
      </c>
      <c r="AL22" s="22" t="n">
        <f aca="false">SUM(AL19:AL21)</f>
        <v>9845</v>
      </c>
    </row>
    <row r="23" customFormat="false" ht="15" hidden="false" customHeight="false" outlineLevel="0" collapsed="false">
      <c r="B23" s="13" t="s">
        <v>63</v>
      </c>
      <c r="C23" s="22" t="n">
        <f aca="false">C16-C22</f>
        <v>7590</v>
      </c>
      <c r="D23" s="22" t="n">
        <f aca="false">D16-D22</f>
        <v>10240.5</v>
      </c>
      <c r="E23" s="22" t="n">
        <f aca="false">E16-E22</f>
        <v>12751.5</v>
      </c>
      <c r="F23" s="22" t="n">
        <f aca="false">F16-F22</f>
        <v>15262.5</v>
      </c>
      <c r="G23" s="22" t="n">
        <f aca="false">G16-G22</f>
        <v>17634</v>
      </c>
      <c r="H23" s="22" t="n">
        <f aca="false">H16-H22</f>
        <v>19866</v>
      </c>
      <c r="I23" s="22" t="n">
        <f aca="false">I16-I22</f>
        <v>22098</v>
      </c>
      <c r="J23" s="22" t="n">
        <f aca="false">J16-J22</f>
        <v>24190.5</v>
      </c>
      <c r="K23" s="22" t="n">
        <f aca="false">K16-K22</f>
        <v>26143.5</v>
      </c>
      <c r="L23" s="22" t="n">
        <f aca="false">L16-L22</f>
        <v>28096.5</v>
      </c>
      <c r="M23" s="22" t="n">
        <f aca="false">M16-M22</f>
        <v>29910</v>
      </c>
      <c r="N23" s="22" t="n">
        <f aca="false">N16-N22</f>
        <v>31723.5</v>
      </c>
      <c r="O23" s="22" t="n">
        <f aca="false">O16-O22</f>
        <v>41037.5</v>
      </c>
      <c r="P23" s="22" t="n">
        <f aca="false">P16-P22</f>
        <v>45362</v>
      </c>
      <c r="Q23" s="22" t="n">
        <f aca="false">Q16-Q22</f>
        <v>49547</v>
      </c>
      <c r="R23" s="22" t="n">
        <f aca="false">R16-R22</f>
        <v>53592.5</v>
      </c>
      <c r="S23" s="22" t="n">
        <f aca="false">S16-S22</f>
        <v>57359</v>
      </c>
      <c r="T23" s="22" t="n">
        <f aca="false">T16-T22</f>
        <v>60986</v>
      </c>
      <c r="U23" s="22" t="n">
        <f aca="false">U16-U22</f>
        <v>64473.5</v>
      </c>
      <c r="V23" s="22" t="n">
        <f aca="false">V16-V22</f>
        <v>67821.5</v>
      </c>
      <c r="W23" s="22" t="n">
        <f aca="false">W16-W22</f>
        <v>71030</v>
      </c>
      <c r="X23" s="22" t="n">
        <f aca="false">X16-X22</f>
        <v>74099</v>
      </c>
      <c r="Y23" s="22" t="n">
        <f aca="false">Y16-Y22</f>
        <v>77168</v>
      </c>
      <c r="Z23" s="22" t="n">
        <f aca="false">Z16-Z22</f>
        <v>80097.5</v>
      </c>
      <c r="AA23" s="22" t="n">
        <f aca="false">AA16-AA22</f>
        <v>90527.5</v>
      </c>
      <c r="AB23" s="22" t="n">
        <f aca="false">AB16-AB22</f>
        <v>95828.5</v>
      </c>
      <c r="AC23" s="22" t="n">
        <f aca="false">AC16-AC22</f>
        <v>100990</v>
      </c>
      <c r="AD23" s="22" t="n">
        <f aca="false">AD16-AD22</f>
        <v>105872.5</v>
      </c>
      <c r="AE23" s="22" t="n">
        <f aca="false">AE16-AE22</f>
        <v>110615.5</v>
      </c>
      <c r="AF23" s="22" t="n">
        <f aca="false">AF16-AF22</f>
        <v>115079.5</v>
      </c>
      <c r="AG23" s="22" t="n">
        <f aca="false">AG16-AG22</f>
        <v>119404</v>
      </c>
      <c r="AH23" s="22" t="n">
        <f aca="false">AH16-AH22</f>
        <v>123589</v>
      </c>
      <c r="AI23" s="22" t="n">
        <f aca="false">AI16-AI22</f>
        <v>127634.5</v>
      </c>
      <c r="AJ23" s="22" t="n">
        <f aca="false">AJ16-AJ22</f>
        <v>131540.5</v>
      </c>
      <c r="AK23" s="22" t="n">
        <f aca="false">AK16-AK22</f>
        <v>135167.5</v>
      </c>
      <c r="AL23" s="22" t="n">
        <f aca="false">AL16-AL22</f>
        <v>138655</v>
      </c>
    </row>
    <row r="24" customFormat="false" ht="15" hidden="false" customHeight="false" outlineLevel="0" collapsed="false">
      <c r="B24" s="2" t="s">
        <v>64</v>
      </c>
      <c r="C24" s="24" t="n">
        <f aca="false">IF(C16=0,0,C23/C16)</f>
        <v>0.94875</v>
      </c>
      <c r="D24" s="24" t="n">
        <f aca="false">IF(D16=0,0,D23/D16)</f>
        <v>0.943824884792627</v>
      </c>
      <c r="E24" s="24" t="n">
        <f aca="false">IF(E16=0,0,E23/E16)</f>
        <v>0.941070110701107</v>
      </c>
      <c r="F24" s="24" t="n">
        <f aca="false">IF(F16=0,0,F23/F16)</f>
        <v>0.939230769230769</v>
      </c>
      <c r="G24" s="24" t="n">
        <f aca="false">IF(G16=0,0,G23/G16)</f>
        <v>0.937978723404255</v>
      </c>
      <c r="H24" s="24" t="n">
        <f aca="false">IF(H16=0,0,H23/H16)</f>
        <v>0.937075471698113</v>
      </c>
      <c r="I24" s="24" t="n">
        <f aca="false">IF(I16=0,0,I23/I16)</f>
        <v>0.93635593220339</v>
      </c>
      <c r="J24" s="24" t="n">
        <f aca="false">IF(J16=0,0,J23/J16)</f>
        <v>0.935802707930368</v>
      </c>
      <c r="K24" s="24" t="n">
        <f aca="false">IF(K16=0,0,K23/K16)</f>
        <v>0.935366726296959</v>
      </c>
      <c r="L24" s="24" t="n">
        <f aca="false">IF(L16=0,0,L23/L16)</f>
        <v>0.934991680532446</v>
      </c>
      <c r="M24" s="24" t="n">
        <f aca="false">IF(M16=0,0,M23/M16)</f>
        <v>0.9346875</v>
      </c>
      <c r="N24" s="24" t="n">
        <f aca="false">IF(N16=0,0,N23/N16)</f>
        <v>0.934418262150221</v>
      </c>
      <c r="O24" s="24" t="n">
        <f aca="false">IF(O16=0,0,O23/O16)</f>
        <v>0.938</v>
      </c>
      <c r="P24" s="24" t="n">
        <f aca="false">IF(P16=0,0,P23/P16)</f>
        <v>0.937231404958678</v>
      </c>
      <c r="Q24" s="24" t="n">
        <f aca="false">IF(Q16=0,0,Q23/Q16)</f>
        <v>0.936616257088847</v>
      </c>
      <c r="R24" s="24" t="n">
        <f aca="false">IF(R16=0,0,R23/R16)</f>
        <v>0.936113537117904</v>
      </c>
      <c r="S24" s="24" t="n">
        <f aca="false">IF(S16=0,0,S23/S16)</f>
        <v>0.935709624796085</v>
      </c>
      <c r="T24" s="24" t="n">
        <f aca="false">IF(T16=0,0,T23/T16)</f>
        <v>0.935368098159509</v>
      </c>
      <c r="U24" s="24" t="n">
        <f aca="false">IF(U16=0,0,U23/U16)</f>
        <v>0.93507614213198</v>
      </c>
      <c r="V24" s="24" t="n">
        <f aca="false">IF(V16=0,0,V23/V16)</f>
        <v>0.934824259131633</v>
      </c>
      <c r="W24" s="24" t="n">
        <f aca="false">IF(W16=0,0,W23/W16)</f>
        <v>0.934605263157895</v>
      </c>
      <c r="X24" s="24" t="n">
        <f aca="false">IF(X16=0,0,X23/X16)</f>
        <v>0.934413619167718</v>
      </c>
      <c r="Y24" s="24" t="n">
        <f aca="false">IF(Y16=0,0,Y23/Y16)</f>
        <v>0.934237288135593</v>
      </c>
      <c r="Z24" s="24" t="n">
        <f aca="false">IF(Z16=0,0,Z23/Z16)</f>
        <v>0.934081632653061</v>
      </c>
      <c r="AA24" s="24" t="n">
        <f aca="false">IF(AA16=0,0,AA23/AA16)</f>
        <v>0.935684754521964</v>
      </c>
      <c r="AB24" s="24" t="n">
        <f aca="false">IF(AB16=0,0,AB23/AB16)</f>
        <v>0.935368472425573</v>
      </c>
      <c r="AC24" s="24" t="n">
        <f aca="false">IF(AC16=0,0,AC23/AC16)</f>
        <v>0.935092592592593</v>
      </c>
      <c r="AD24" s="24" t="n">
        <f aca="false">IF(AD16=0,0,AD23/AD16)</f>
        <v>0.93485651214128</v>
      </c>
      <c r="AE24" s="24" t="n">
        <f aca="false">IF(AE16=0,0,AE23/AE16)</f>
        <v>0.934647232784115</v>
      </c>
      <c r="AF24" s="24" t="n">
        <f aca="false">IF(AF16=0,0,AF23/AF16)</f>
        <v>0.934466098254162</v>
      </c>
      <c r="AG24" s="24" t="n">
        <f aca="false">IF(AG16=0,0,AG23/AG16)</f>
        <v>0.934303599374022</v>
      </c>
      <c r="AH24" s="24" t="n">
        <f aca="false">IF(AH16=0,0,AH23/AH16)</f>
        <v>0.934157218442933</v>
      </c>
      <c r="AI24" s="24" t="n">
        <f aca="false">IF(AI16=0,0,AI23/AI16)</f>
        <v>0.934024881083059</v>
      </c>
      <c r="AJ24" s="24" t="n">
        <f aca="false">IF(AJ16=0,0,AJ23/AJ16)</f>
        <v>0.933904863329784</v>
      </c>
      <c r="AK24" s="24" t="n">
        <f aca="false">IF(AK16=0,0,AK23/AK16)</f>
        <v>0.933799654576857</v>
      </c>
      <c r="AL24" s="24" t="n">
        <f aca="false">IF(AL16=0,0,AL23/AL16)</f>
        <v>0.933703703703704</v>
      </c>
    </row>
    <row r="26" customFormat="false" ht="15" hidden="false" customHeight="false" outlineLevel="0" collapsed="false">
      <c r="B26" s="16" t="s">
        <v>65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</row>
    <row r="27" customFormat="false" ht="15" hidden="false" customHeight="false" outlineLevel="0" collapsed="false">
      <c r="B27" s="4" t="s">
        <v>66</v>
      </c>
      <c r="C27" s="21" t="n">
        <f aca="false">C9*Assumptions!$C$24</f>
        <v>600</v>
      </c>
      <c r="D27" s="21" t="n">
        <f aca="false">D9*Assumptions!$C$24</f>
        <v>600</v>
      </c>
      <c r="E27" s="21" t="n">
        <f aca="false">E9*Assumptions!$C$24</f>
        <v>600</v>
      </c>
      <c r="F27" s="21" t="n">
        <f aca="false">F9*Assumptions!$C$24</f>
        <v>600</v>
      </c>
      <c r="G27" s="21" t="n">
        <f aca="false">G9*Assumptions!$C$24</f>
        <v>600</v>
      </c>
      <c r="H27" s="21" t="n">
        <f aca="false">H9*Assumptions!$C$24</f>
        <v>600</v>
      </c>
      <c r="I27" s="21" t="n">
        <f aca="false">I9*Assumptions!$C$24</f>
        <v>600</v>
      </c>
      <c r="J27" s="21" t="n">
        <f aca="false">J9*Assumptions!$C$24</f>
        <v>600</v>
      </c>
      <c r="K27" s="21" t="n">
        <f aca="false">K9*Assumptions!$C$24</f>
        <v>600</v>
      </c>
      <c r="L27" s="21" t="n">
        <f aca="false">L9*Assumptions!$C$24</f>
        <v>600</v>
      </c>
      <c r="M27" s="21" t="n">
        <f aca="false">M9*Assumptions!$C$24</f>
        <v>600</v>
      </c>
      <c r="N27" s="21" t="n">
        <f aca="false">N9*Assumptions!$C$24</f>
        <v>600</v>
      </c>
      <c r="O27" s="21" t="n">
        <f aca="false">O9*Assumptions!$C$24</f>
        <v>1200</v>
      </c>
      <c r="P27" s="21" t="n">
        <f aca="false">P9*Assumptions!$C$24</f>
        <v>1200</v>
      </c>
      <c r="Q27" s="21" t="n">
        <f aca="false">Q9*Assumptions!$C$24</f>
        <v>1200</v>
      </c>
      <c r="R27" s="21" t="n">
        <f aca="false">R9*Assumptions!$C$24</f>
        <v>1200</v>
      </c>
      <c r="S27" s="21" t="n">
        <f aca="false">S9*Assumptions!$C$24</f>
        <v>1200</v>
      </c>
      <c r="T27" s="21" t="n">
        <f aca="false">T9*Assumptions!$C$24</f>
        <v>1200</v>
      </c>
      <c r="U27" s="21" t="n">
        <f aca="false">U9*Assumptions!$C$24</f>
        <v>1200</v>
      </c>
      <c r="V27" s="21" t="n">
        <f aca="false">V9*Assumptions!$C$24</f>
        <v>1200</v>
      </c>
      <c r="W27" s="21" t="n">
        <f aca="false">W9*Assumptions!$C$24</f>
        <v>1200</v>
      </c>
      <c r="X27" s="21" t="n">
        <f aca="false">X9*Assumptions!$C$24</f>
        <v>1200</v>
      </c>
      <c r="Y27" s="21" t="n">
        <f aca="false">Y9*Assumptions!$C$24</f>
        <v>1200</v>
      </c>
      <c r="Z27" s="21" t="n">
        <f aca="false">Z9*Assumptions!$C$24</f>
        <v>1200</v>
      </c>
      <c r="AA27" s="21" t="n">
        <f aca="false">AA9*Assumptions!$C$24</f>
        <v>1800</v>
      </c>
      <c r="AB27" s="21" t="n">
        <f aca="false">AB9*Assumptions!$C$24</f>
        <v>1800</v>
      </c>
      <c r="AC27" s="21" t="n">
        <f aca="false">AC9*Assumptions!$C$24</f>
        <v>1800</v>
      </c>
      <c r="AD27" s="21" t="n">
        <f aca="false">AD9*Assumptions!$C$24</f>
        <v>1800</v>
      </c>
      <c r="AE27" s="21" t="n">
        <f aca="false">AE9*Assumptions!$C$24</f>
        <v>1800</v>
      </c>
      <c r="AF27" s="21" t="n">
        <f aca="false">AF9*Assumptions!$C$24</f>
        <v>1800</v>
      </c>
      <c r="AG27" s="21" t="n">
        <f aca="false">AG9*Assumptions!$C$24</f>
        <v>1800</v>
      </c>
      <c r="AH27" s="21" t="n">
        <f aca="false">AH9*Assumptions!$C$24</f>
        <v>1800</v>
      </c>
      <c r="AI27" s="21" t="n">
        <f aca="false">AI9*Assumptions!$C$24</f>
        <v>1800</v>
      </c>
      <c r="AJ27" s="21" t="n">
        <f aca="false">AJ9*Assumptions!$C$24</f>
        <v>1800</v>
      </c>
      <c r="AK27" s="21" t="n">
        <f aca="false">AK9*Assumptions!$C$24</f>
        <v>1800</v>
      </c>
      <c r="AL27" s="21" t="n">
        <f aca="false">AL9*Assumptions!$C$24</f>
        <v>1800</v>
      </c>
    </row>
    <row r="28" customFormat="false" ht="15" hidden="false" customHeight="false" outlineLevel="0" collapsed="false">
      <c r="B28" s="4" t="s">
        <v>67</v>
      </c>
      <c r="C28" s="23" t="n">
        <f aca="false">Assumptions!$C$26</f>
        <v>8000</v>
      </c>
      <c r="D28" s="23" t="n">
        <f aca="false">Assumptions!$C$26</f>
        <v>8000</v>
      </c>
      <c r="E28" s="23" t="n">
        <f aca="false">Assumptions!$C$26</f>
        <v>8000</v>
      </c>
      <c r="F28" s="23" t="n">
        <f aca="false">Assumptions!$C$26</f>
        <v>8000</v>
      </c>
      <c r="G28" s="23" t="n">
        <f aca="false">Assumptions!$C$26</f>
        <v>8000</v>
      </c>
      <c r="H28" s="23" t="n">
        <f aca="false">Assumptions!$C$26</f>
        <v>8000</v>
      </c>
      <c r="I28" s="23" t="n">
        <f aca="false">Assumptions!$C$26</f>
        <v>8000</v>
      </c>
      <c r="J28" s="23" t="n">
        <f aca="false">Assumptions!$C$26</f>
        <v>8000</v>
      </c>
      <c r="K28" s="23" t="n">
        <f aca="false">Assumptions!$C$26</f>
        <v>8000</v>
      </c>
      <c r="L28" s="23" t="n">
        <f aca="false">Assumptions!$C$26</f>
        <v>8000</v>
      </c>
      <c r="M28" s="23" t="n">
        <f aca="false">Assumptions!$C$26</f>
        <v>8000</v>
      </c>
      <c r="N28" s="23" t="n">
        <f aca="false">Assumptions!$C$26</f>
        <v>8000</v>
      </c>
      <c r="O28" s="23" t="n">
        <f aca="false">Assumptions!$C$26</f>
        <v>8000</v>
      </c>
      <c r="P28" s="23" t="n">
        <f aca="false">Assumptions!$C$26</f>
        <v>8000</v>
      </c>
      <c r="Q28" s="23" t="n">
        <f aca="false">Assumptions!$C$26</f>
        <v>8000</v>
      </c>
      <c r="R28" s="23" t="n">
        <f aca="false">Assumptions!$C$26</f>
        <v>8000</v>
      </c>
      <c r="S28" s="23" t="n">
        <f aca="false">Assumptions!$C$26</f>
        <v>8000</v>
      </c>
      <c r="T28" s="23" t="n">
        <f aca="false">Assumptions!$C$26</f>
        <v>8000</v>
      </c>
      <c r="U28" s="23" t="n">
        <f aca="false">Assumptions!$C$26</f>
        <v>8000</v>
      </c>
      <c r="V28" s="23" t="n">
        <f aca="false">Assumptions!$C$26</f>
        <v>8000</v>
      </c>
      <c r="W28" s="23" t="n">
        <f aca="false">Assumptions!$C$26</f>
        <v>8000</v>
      </c>
      <c r="X28" s="23" t="n">
        <f aca="false">Assumptions!$C$26</f>
        <v>8000</v>
      </c>
      <c r="Y28" s="23" t="n">
        <f aca="false">Assumptions!$C$26</f>
        <v>8000</v>
      </c>
      <c r="Z28" s="23" t="n">
        <f aca="false">Assumptions!$C$26</f>
        <v>8000</v>
      </c>
      <c r="AA28" s="23" t="n">
        <f aca="false">Assumptions!$C$26</f>
        <v>8000</v>
      </c>
      <c r="AB28" s="23" t="n">
        <f aca="false">Assumptions!$C$26</f>
        <v>8000</v>
      </c>
      <c r="AC28" s="23" t="n">
        <f aca="false">Assumptions!$C$26</f>
        <v>8000</v>
      </c>
      <c r="AD28" s="23" t="n">
        <f aca="false">Assumptions!$C$26</f>
        <v>8000</v>
      </c>
      <c r="AE28" s="23" t="n">
        <f aca="false">Assumptions!$C$26</f>
        <v>8000</v>
      </c>
      <c r="AF28" s="23" t="n">
        <f aca="false">Assumptions!$C$26</f>
        <v>8000</v>
      </c>
      <c r="AG28" s="23" t="n">
        <f aca="false">Assumptions!$C$26</f>
        <v>8000</v>
      </c>
      <c r="AH28" s="23" t="n">
        <f aca="false">Assumptions!$C$26</f>
        <v>8000</v>
      </c>
      <c r="AI28" s="23" t="n">
        <f aca="false">Assumptions!$C$26</f>
        <v>8000</v>
      </c>
      <c r="AJ28" s="23" t="n">
        <f aca="false">Assumptions!$C$26</f>
        <v>8000</v>
      </c>
      <c r="AK28" s="23" t="n">
        <f aca="false">Assumptions!$C$26</f>
        <v>8000</v>
      </c>
      <c r="AL28" s="23" t="n">
        <f aca="false">Assumptions!$C$26</f>
        <v>8000</v>
      </c>
    </row>
    <row r="29" customFormat="false" ht="15" hidden="false" customHeight="false" outlineLevel="0" collapsed="false">
      <c r="B29" s="4" t="s">
        <v>68</v>
      </c>
      <c r="C29" s="23" t="n">
        <f aca="false">Assumptions!$C$25</f>
        <v>500</v>
      </c>
      <c r="D29" s="23" t="n">
        <f aca="false">Assumptions!$C$25</f>
        <v>500</v>
      </c>
      <c r="E29" s="23" t="n">
        <f aca="false">Assumptions!$C$25</f>
        <v>500</v>
      </c>
      <c r="F29" s="23" t="n">
        <f aca="false">Assumptions!$C$25</f>
        <v>500</v>
      </c>
      <c r="G29" s="23" t="n">
        <f aca="false">Assumptions!$C$25</f>
        <v>500</v>
      </c>
      <c r="H29" s="23" t="n">
        <f aca="false">Assumptions!$C$25</f>
        <v>500</v>
      </c>
      <c r="I29" s="23" t="n">
        <f aca="false">Assumptions!$C$25</f>
        <v>500</v>
      </c>
      <c r="J29" s="23" t="n">
        <f aca="false">Assumptions!$C$25</f>
        <v>500</v>
      </c>
      <c r="K29" s="23" t="n">
        <f aca="false">Assumptions!$C$25</f>
        <v>500</v>
      </c>
      <c r="L29" s="23" t="n">
        <f aca="false">Assumptions!$C$25</f>
        <v>500</v>
      </c>
      <c r="M29" s="23" t="n">
        <f aca="false">Assumptions!$C$25</f>
        <v>500</v>
      </c>
      <c r="N29" s="23" t="n">
        <f aca="false">Assumptions!$C$25</f>
        <v>500</v>
      </c>
      <c r="O29" s="23" t="n">
        <f aca="false">Assumptions!$C$25</f>
        <v>500</v>
      </c>
      <c r="P29" s="23" t="n">
        <f aca="false">Assumptions!$C$25</f>
        <v>500</v>
      </c>
      <c r="Q29" s="23" t="n">
        <f aca="false">Assumptions!$C$25</f>
        <v>500</v>
      </c>
      <c r="R29" s="23" t="n">
        <f aca="false">Assumptions!$C$25</f>
        <v>500</v>
      </c>
      <c r="S29" s="23" t="n">
        <f aca="false">Assumptions!$C$25</f>
        <v>500</v>
      </c>
      <c r="T29" s="23" t="n">
        <f aca="false">Assumptions!$C$25</f>
        <v>500</v>
      </c>
      <c r="U29" s="23" t="n">
        <f aca="false">Assumptions!$C$25</f>
        <v>500</v>
      </c>
      <c r="V29" s="23" t="n">
        <f aca="false">Assumptions!$C$25</f>
        <v>500</v>
      </c>
      <c r="W29" s="23" t="n">
        <f aca="false">Assumptions!$C$25</f>
        <v>500</v>
      </c>
      <c r="X29" s="23" t="n">
        <f aca="false">Assumptions!$C$25</f>
        <v>500</v>
      </c>
      <c r="Y29" s="23" t="n">
        <f aca="false">Assumptions!$C$25</f>
        <v>500</v>
      </c>
      <c r="Z29" s="23" t="n">
        <f aca="false">Assumptions!$C$25</f>
        <v>500</v>
      </c>
      <c r="AA29" s="23" t="n">
        <f aca="false">Assumptions!$C$25</f>
        <v>500</v>
      </c>
      <c r="AB29" s="23" t="n">
        <f aca="false">Assumptions!$C$25</f>
        <v>500</v>
      </c>
      <c r="AC29" s="23" t="n">
        <f aca="false">Assumptions!$C$25</f>
        <v>500</v>
      </c>
      <c r="AD29" s="23" t="n">
        <f aca="false">Assumptions!$C$25</f>
        <v>500</v>
      </c>
      <c r="AE29" s="23" t="n">
        <f aca="false">Assumptions!$C$25</f>
        <v>500</v>
      </c>
      <c r="AF29" s="23" t="n">
        <f aca="false">Assumptions!$C$25</f>
        <v>500</v>
      </c>
      <c r="AG29" s="23" t="n">
        <f aca="false">Assumptions!$C$25</f>
        <v>500</v>
      </c>
      <c r="AH29" s="23" t="n">
        <f aca="false">Assumptions!$C$25</f>
        <v>500</v>
      </c>
      <c r="AI29" s="23" t="n">
        <f aca="false">Assumptions!$C$25</f>
        <v>500</v>
      </c>
      <c r="AJ29" s="23" t="n">
        <f aca="false">Assumptions!$C$25</f>
        <v>500</v>
      </c>
      <c r="AK29" s="23" t="n">
        <f aca="false">Assumptions!$C$25</f>
        <v>500</v>
      </c>
      <c r="AL29" s="23" t="n">
        <f aca="false">Assumptions!$C$25</f>
        <v>500</v>
      </c>
    </row>
    <row r="30" customFormat="false" ht="15" hidden="false" customHeight="false" outlineLevel="0" collapsed="false">
      <c r="B30" s="13" t="s">
        <v>69</v>
      </c>
      <c r="C30" s="22" t="n">
        <f aca="false">SUM(C27:C29)</f>
        <v>9100</v>
      </c>
      <c r="D30" s="22" t="n">
        <f aca="false">SUM(D27:D29)</f>
        <v>9100</v>
      </c>
      <c r="E30" s="22" t="n">
        <f aca="false">SUM(E27:E29)</f>
        <v>9100</v>
      </c>
      <c r="F30" s="22" t="n">
        <f aca="false">SUM(F27:F29)</f>
        <v>9100</v>
      </c>
      <c r="G30" s="22" t="n">
        <f aca="false">SUM(G27:G29)</f>
        <v>9100</v>
      </c>
      <c r="H30" s="22" t="n">
        <f aca="false">SUM(H27:H29)</f>
        <v>9100</v>
      </c>
      <c r="I30" s="22" t="n">
        <f aca="false">SUM(I27:I29)</f>
        <v>9100</v>
      </c>
      <c r="J30" s="22" t="n">
        <f aca="false">SUM(J27:J29)</f>
        <v>9100</v>
      </c>
      <c r="K30" s="22" t="n">
        <f aca="false">SUM(K27:K29)</f>
        <v>9100</v>
      </c>
      <c r="L30" s="22" t="n">
        <f aca="false">SUM(L27:L29)</f>
        <v>9100</v>
      </c>
      <c r="M30" s="22" t="n">
        <f aca="false">SUM(M27:M29)</f>
        <v>9100</v>
      </c>
      <c r="N30" s="22" t="n">
        <f aca="false">SUM(N27:N29)</f>
        <v>9100</v>
      </c>
      <c r="O30" s="22" t="n">
        <f aca="false">SUM(O27:O29)</f>
        <v>9700</v>
      </c>
      <c r="P30" s="22" t="n">
        <f aca="false">SUM(P27:P29)</f>
        <v>9700</v>
      </c>
      <c r="Q30" s="22" t="n">
        <f aca="false">SUM(Q27:Q29)</f>
        <v>9700</v>
      </c>
      <c r="R30" s="22" t="n">
        <f aca="false">SUM(R27:R29)</f>
        <v>9700</v>
      </c>
      <c r="S30" s="22" t="n">
        <f aca="false">SUM(S27:S29)</f>
        <v>9700</v>
      </c>
      <c r="T30" s="22" t="n">
        <f aca="false">SUM(T27:T29)</f>
        <v>9700</v>
      </c>
      <c r="U30" s="22" t="n">
        <f aca="false">SUM(U27:U29)</f>
        <v>9700</v>
      </c>
      <c r="V30" s="22" t="n">
        <f aca="false">SUM(V27:V29)</f>
        <v>9700</v>
      </c>
      <c r="W30" s="22" t="n">
        <f aca="false">SUM(W27:W29)</f>
        <v>9700</v>
      </c>
      <c r="X30" s="22" t="n">
        <f aca="false">SUM(X27:X29)</f>
        <v>9700</v>
      </c>
      <c r="Y30" s="22" t="n">
        <f aca="false">SUM(Y27:Y29)</f>
        <v>9700</v>
      </c>
      <c r="Z30" s="22" t="n">
        <f aca="false">SUM(Z27:Z29)</f>
        <v>9700</v>
      </c>
      <c r="AA30" s="22" t="n">
        <f aca="false">SUM(AA27:AA29)</f>
        <v>10300</v>
      </c>
      <c r="AB30" s="22" t="n">
        <f aca="false">SUM(AB27:AB29)</f>
        <v>10300</v>
      </c>
      <c r="AC30" s="22" t="n">
        <f aca="false">SUM(AC27:AC29)</f>
        <v>10300</v>
      </c>
      <c r="AD30" s="22" t="n">
        <f aca="false">SUM(AD27:AD29)</f>
        <v>10300</v>
      </c>
      <c r="AE30" s="22" t="n">
        <f aca="false">SUM(AE27:AE29)</f>
        <v>10300</v>
      </c>
      <c r="AF30" s="22" t="n">
        <f aca="false">SUM(AF27:AF29)</f>
        <v>10300</v>
      </c>
      <c r="AG30" s="22" t="n">
        <f aca="false">SUM(AG27:AG29)</f>
        <v>10300</v>
      </c>
      <c r="AH30" s="22" t="n">
        <f aca="false">SUM(AH27:AH29)</f>
        <v>10300</v>
      </c>
      <c r="AI30" s="22" t="n">
        <f aca="false">SUM(AI27:AI29)</f>
        <v>10300</v>
      </c>
      <c r="AJ30" s="22" t="n">
        <f aca="false">SUM(AJ27:AJ29)</f>
        <v>10300</v>
      </c>
      <c r="AK30" s="22" t="n">
        <f aca="false">SUM(AK27:AK29)</f>
        <v>10300</v>
      </c>
      <c r="AL30" s="22" t="n">
        <f aca="false">SUM(AL27:AL29)</f>
        <v>10300</v>
      </c>
    </row>
    <row r="32" customFormat="false" ht="15" hidden="false" customHeight="false" outlineLevel="0" collapsed="false">
      <c r="B32" s="16" t="s">
        <v>70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</row>
    <row r="33" customFormat="false" ht="15" hidden="false" customHeight="false" outlineLevel="0" collapsed="false">
      <c r="B33" s="13" t="s">
        <v>71</v>
      </c>
      <c r="C33" s="22" t="n">
        <f aca="false">C23-C30</f>
        <v>-1510</v>
      </c>
      <c r="D33" s="22" t="n">
        <f aca="false">D23-D30</f>
        <v>1140.5</v>
      </c>
      <c r="E33" s="22" t="n">
        <f aca="false">E23-E30</f>
        <v>3651.5</v>
      </c>
      <c r="F33" s="22" t="n">
        <f aca="false">F23-F30</f>
        <v>6162.5</v>
      </c>
      <c r="G33" s="22" t="n">
        <f aca="false">G23-G30</f>
        <v>8534</v>
      </c>
      <c r="H33" s="22" t="n">
        <f aca="false">H23-H30</f>
        <v>10766</v>
      </c>
      <c r="I33" s="22" t="n">
        <f aca="false">I23-I30</f>
        <v>12998</v>
      </c>
      <c r="J33" s="22" t="n">
        <f aca="false">J23-J30</f>
        <v>15090.5</v>
      </c>
      <c r="K33" s="22" t="n">
        <f aca="false">K23-K30</f>
        <v>17043.5</v>
      </c>
      <c r="L33" s="22" t="n">
        <f aca="false">L23-L30</f>
        <v>18996.5</v>
      </c>
      <c r="M33" s="22" t="n">
        <f aca="false">M23-M30</f>
        <v>20810</v>
      </c>
      <c r="N33" s="22" t="n">
        <f aca="false">N23-N30</f>
        <v>22623.5</v>
      </c>
      <c r="O33" s="22" t="n">
        <f aca="false">O23-O30</f>
        <v>31337.5</v>
      </c>
      <c r="P33" s="22" t="n">
        <f aca="false">P23-P30</f>
        <v>35662</v>
      </c>
      <c r="Q33" s="22" t="n">
        <f aca="false">Q23-Q30</f>
        <v>39847</v>
      </c>
      <c r="R33" s="22" t="n">
        <f aca="false">R23-R30</f>
        <v>43892.5</v>
      </c>
      <c r="S33" s="22" t="n">
        <f aca="false">S23-S30</f>
        <v>47659</v>
      </c>
      <c r="T33" s="22" t="n">
        <f aca="false">T23-T30</f>
        <v>51286</v>
      </c>
      <c r="U33" s="22" t="n">
        <f aca="false">U23-U30</f>
        <v>54773.5</v>
      </c>
      <c r="V33" s="22" t="n">
        <f aca="false">V23-V30</f>
        <v>58121.5</v>
      </c>
      <c r="W33" s="22" t="n">
        <f aca="false">W23-W30</f>
        <v>61330</v>
      </c>
      <c r="X33" s="22" t="n">
        <f aca="false">X23-X30</f>
        <v>64399</v>
      </c>
      <c r="Y33" s="22" t="n">
        <f aca="false">Y23-Y30</f>
        <v>67468</v>
      </c>
      <c r="Z33" s="22" t="n">
        <f aca="false">Z23-Z30</f>
        <v>70397.5</v>
      </c>
      <c r="AA33" s="22" t="n">
        <f aca="false">AA23-AA30</f>
        <v>80227.5</v>
      </c>
      <c r="AB33" s="22" t="n">
        <f aca="false">AB23-AB30</f>
        <v>85528.5</v>
      </c>
      <c r="AC33" s="22" t="n">
        <f aca="false">AC23-AC30</f>
        <v>90690</v>
      </c>
      <c r="AD33" s="22" t="n">
        <f aca="false">AD23-AD30</f>
        <v>95572.5</v>
      </c>
      <c r="AE33" s="22" t="n">
        <f aca="false">AE23-AE30</f>
        <v>100315.5</v>
      </c>
      <c r="AF33" s="22" t="n">
        <f aca="false">AF23-AF30</f>
        <v>104779.5</v>
      </c>
      <c r="AG33" s="22" t="n">
        <f aca="false">AG23-AG30</f>
        <v>109104</v>
      </c>
      <c r="AH33" s="22" t="n">
        <f aca="false">AH23-AH30</f>
        <v>113289</v>
      </c>
      <c r="AI33" s="22" t="n">
        <f aca="false">AI23-AI30</f>
        <v>117334.5</v>
      </c>
      <c r="AJ33" s="22" t="n">
        <f aca="false">AJ23-AJ30</f>
        <v>121240.5</v>
      </c>
      <c r="AK33" s="22" t="n">
        <f aca="false">AK23-AK30</f>
        <v>124867.5</v>
      </c>
      <c r="AL33" s="22" t="n">
        <f aca="false">AL23-AL30</f>
        <v>128355</v>
      </c>
    </row>
    <row r="34" customFormat="false" ht="15" hidden="false" customHeight="false" outlineLevel="0" collapsed="false">
      <c r="B34" s="2" t="s">
        <v>72</v>
      </c>
      <c r="C34" s="24" t="n">
        <f aca="false">IF(C16=0,0,C33/C16)</f>
        <v>-0.18875</v>
      </c>
      <c r="D34" s="24" t="n">
        <f aca="false">IF(D16=0,0,D33/D16)</f>
        <v>0.105115207373272</v>
      </c>
      <c r="E34" s="24" t="n">
        <f aca="false">IF(E16=0,0,E33/E16)</f>
        <v>0.269483394833948</v>
      </c>
      <c r="F34" s="24" t="n">
        <f aca="false">IF(F16=0,0,F33/F16)</f>
        <v>0.379230769230769</v>
      </c>
      <c r="G34" s="24" t="n">
        <f aca="false">IF(G16=0,0,G33/G16)</f>
        <v>0.453936170212766</v>
      </c>
      <c r="H34" s="24" t="n">
        <f aca="false">IF(H16=0,0,H33/H16)</f>
        <v>0.507830188679245</v>
      </c>
      <c r="I34" s="24" t="n">
        <f aca="false">IF(I16=0,0,I33/I16)</f>
        <v>0.550762711864407</v>
      </c>
      <c r="J34" s="24" t="n">
        <f aca="false">IF(J16=0,0,J33/J16)</f>
        <v>0.583771760154739</v>
      </c>
      <c r="K34" s="24" t="n">
        <f aca="false">IF(K16=0,0,K33/K16)</f>
        <v>0.609785330948122</v>
      </c>
      <c r="L34" s="24" t="n">
        <f aca="false">IF(L16=0,0,L33/L16)</f>
        <v>0.63216306156406</v>
      </c>
      <c r="M34" s="24" t="n">
        <f aca="false">IF(M16=0,0,M33/M16)</f>
        <v>0.6503125</v>
      </c>
      <c r="N34" s="24" t="n">
        <f aca="false">IF(N16=0,0,N33/N16)</f>
        <v>0.666377025036819</v>
      </c>
      <c r="O34" s="24" t="n">
        <f aca="false">IF(O16=0,0,O33/O16)</f>
        <v>0.716285714285714</v>
      </c>
      <c r="P34" s="24" t="n">
        <f aca="false">IF(P16=0,0,P33/P16)</f>
        <v>0.736818181818182</v>
      </c>
      <c r="Q34" s="24" t="n">
        <f aca="false">IF(Q16=0,0,Q33/Q16)</f>
        <v>0.753251417769376</v>
      </c>
      <c r="R34" s="24" t="n">
        <f aca="false">IF(R16=0,0,R33/R16)</f>
        <v>0.766681222707424</v>
      </c>
      <c r="S34" s="24" t="n">
        <f aca="false">IF(S16=0,0,S33/S16)</f>
        <v>0.77747145187602</v>
      </c>
      <c r="T34" s="24" t="n">
        <f aca="false">IF(T16=0,0,T33/T16)</f>
        <v>0.78659509202454</v>
      </c>
      <c r="U34" s="24" t="n">
        <f aca="false">IF(U16=0,0,U33/U16)</f>
        <v>0.794394488759971</v>
      </c>
      <c r="V34" s="24" t="n">
        <f aca="false">IF(V16=0,0,V33/V16)</f>
        <v>0.801123363197795</v>
      </c>
      <c r="W34" s="24" t="n">
        <f aca="false">IF(W16=0,0,W33/W16)</f>
        <v>0.806973684210526</v>
      </c>
      <c r="X34" s="24" t="n">
        <f aca="false">IF(X16=0,0,X33/X16)</f>
        <v>0.812093316519546</v>
      </c>
      <c r="Y34" s="24" t="n">
        <f aca="false">IF(Y16=0,0,Y33/Y16)</f>
        <v>0.81680387409201</v>
      </c>
      <c r="Z34" s="24" t="n">
        <f aca="false">IF(Z16=0,0,Z33/Z16)</f>
        <v>0.820962099125364</v>
      </c>
      <c r="AA34" s="24" t="n">
        <f aca="false">IF(AA16=0,0,AA33/AA16)</f>
        <v>0.82922480620155</v>
      </c>
      <c r="AB34" s="24" t="n">
        <f aca="false">IF(AB16=0,0,AB33/AB16)</f>
        <v>0.834831625183016</v>
      </c>
      <c r="AC34" s="24" t="n">
        <f aca="false">IF(AC16=0,0,AC33/AC16)</f>
        <v>0.839722222222222</v>
      </c>
      <c r="AD34" s="24" t="n">
        <f aca="false">IF(AD16=0,0,AD33/AD16)</f>
        <v>0.843907284768212</v>
      </c>
      <c r="AE34" s="24" t="n">
        <f aca="false">IF(AE16=0,0,AE33/AE16)</f>
        <v>0.847617237008872</v>
      </c>
      <c r="AF34" s="24" t="n">
        <f aca="false">IF(AF16=0,0,AF33/AF16)</f>
        <v>0.850828258221681</v>
      </c>
      <c r="AG34" s="24" t="n">
        <f aca="false">IF(AG16=0,0,AG33/AG16)</f>
        <v>0.853708920187793</v>
      </c>
      <c r="AH34" s="24" t="n">
        <f aca="false">IF(AH16=0,0,AH33/AH16)</f>
        <v>0.856303854875284</v>
      </c>
      <c r="AI34" s="24" t="n">
        <f aca="false">IF(AI16=0,0,AI33/AI16)</f>
        <v>0.858649835345774</v>
      </c>
      <c r="AJ34" s="24" t="n">
        <f aca="false">IF(AJ16=0,0,AJ33/AJ16)</f>
        <v>0.860777422790202</v>
      </c>
      <c r="AK34" s="24" t="n">
        <f aca="false">IF(AK16=0,0,AK33/AK16)</f>
        <v>0.862642487046632</v>
      </c>
      <c r="AL34" s="24" t="n">
        <f aca="false">IF(AL16=0,0,AL33/AL16)</f>
        <v>0.864343434343434</v>
      </c>
    </row>
    <row r="35" customFormat="false" ht="15" hidden="false" customHeight="false" outlineLevel="0" collapsed="false">
      <c r="B35" s="4" t="s">
        <v>73</v>
      </c>
      <c r="C35" s="23" t="n">
        <f aca="false">Assumptions!$C$27</f>
        <v>5000</v>
      </c>
      <c r="D35" s="21" t="n">
        <f aca="false">C36</f>
        <v>3490</v>
      </c>
      <c r="E35" s="21" t="n">
        <f aca="false">D36</f>
        <v>4630.5</v>
      </c>
      <c r="F35" s="21" t="n">
        <f aca="false">E36</f>
        <v>8282</v>
      </c>
      <c r="G35" s="21" t="n">
        <f aca="false">F36</f>
        <v>14444.5</v>
      </c>
      <c r="H35" s="21" t="n">
        <f aca="false">G36</f>
        <v>22978.5</v>
      </c>
      <c r="I35" s="21" t="n">
        <f aca="false">H36</f>
        <v>33744.5</v>
      </c>
      <c r="J35" s="21" t="n">
        <f aca="false">I36</f>
        <v>46742.5</v>
      </c>
      <c r="K35" s="21" t="n">
        <f aca="false">J36</f>
        <v>61833</v>
      </c>
      <c r="L35" s="21" t="n">
        <f aca="false">K36</f>
        <v>78876.5</v>
      </c>
      <c r="M35" s="21" t="n">
        <f aca="false">L36</f>
        <v>97873</v>
      </c>
      <c r="N35" s="21" t="n">
        <f aca="false">M36</f>
        <v>118683</v>
      </c>
      <c r="O35" s="21" t="n">
        <f aca="false">N36</f>
        <v>141306.5</v>
      </c>
      <c r="P35" s="21" t="n">
        <f aca="false">O36</f>
        <v>172644</v>
      </c>
      <c r="Q35" s="21" t="n">
        <f aca="false">P36</f>
        <v>208306</v>
      </c>
      <c r="R35" s="21" t="n">
        <f aca="false">Q36</f>
        <v>248153</v>
      </c>
      <c r="S35" s="21" t="n">
        <f aca="false">R36</f>
        <v>292045.5</v>
      </c>
      <c r="T35" s="21" t="n">
        <f aca="false">S36</f>
        <v>339704.5</v>
      </c>
      <c r="U35" s="21" t="n">
        <f aca="false">T36</f>
        <v>390990.5</v>
      </c>
      <c r="V35" s="21" t="n">
        <f aca="false">U36</f>
        <v>445764</v>
      </c>
      <c r="W35" s="21" t="n">
        <f aca="false">V36</f>
        <v>503885.5</v>
      </c>
      <c r="X35" s="21" t="n">
        <f aca="false">W36</f>
        <v>565215.5</v>
      </c>
      <c r="Y35" s="21" t="n">
        <f aca="false">X36</f>
        <v>629614.5</v>
      </c>
      <c r="Z35" s="21" t="n">
        <f aca="false">Y36</f>
        <v>697082.5</v>
      </c>
      <c r="AA35" s="21" t="n">
        <f aca="false">Z36</f>
        <v>767480</v>
      </c>
      <c r="AB35" s="21" t="n">
        <f aca="false">AA36</f>
        <v>847707.5</v>
      </c>
      <c r="AC35" s="21" t="n">
        <f aca="false">AB36</f>
        <v>933236</v>
      </c>
      <c r="AD35" s="21" t="n">
        <f aca="false">AC36</f>
        <v>1023926</v>
      </c>
      <c r="AE35" s="21" t="n">
        <f aca="false">AD36</f>
        <v>1119498.5</v>
      </c>
      <c r="AF35" s="21" t="n">
        <f aca="false">AE36</f>
        <v>1219814</v>
      </c>
      <c r="AG35" s="21" t="n">
        <f aca="false">AF36</f>
        <v>1324593.5</v>
      </c>
      <c r="AH35" s="21" t="n">
        <f aca="false">AG36</f>
        <v>1433697.5</v>
      </c>
      <c r="AI35" s="21" t="n">
        <f aca="false">AH36</f>
        <v>1546986.5</v>
      </c>
      <c r="AJ35" s="21" t="n">
        <f aca="false">AI36</f>
        <v>1664321</v>
      </c>
      <c r="AK35" s="21" t="n">
        <f aca="false">AJ36</f>
        <v>1785561.5</v>
      </c>
      <c r="AL35" s="21" t="n">
        <f aca="false">AK36</f>
        <v>1910429</v>
      </c>
    </row>
    <row r="36" customFormat="false" ht="15" hidden="false" customHeight="false" outlineLevel="0" collapsed="false">
      <c r="B36" s="13" t="s">
        <v>74</v>
      </c>
      <c r="C36" s="22" t="n">
        <f aca="false">C35+C33</f>
        <v>3490</v>
      </c>
      <c r="D36" s="22" t="n">
        <f aca="false">D35+D33</f>
        <v>4630.5</v>
      </c>
      <c r="E36" s="22" t="n">
        <f aca="false">E35+E33</f>
        <v>8282</v>
      </c>
      <c r="F36" s="22" t="n">
        <f aca="false">F35+F33</f>
        <v>14444.5</v>
      </c>
      <c r="G36" s="22" t="n">
        <f aca="false">G35+G33</f>
        <v>22978.5</v>
      </c>
      <c r="H36" s="22" t="n">
        <f aca="false">H35+H33</f>
        <v>33744.5</v>
      </c>
      <c r="I36" s="22" t="n">
        <f aca="false">I35+I33</f>
        <v>46742.5</v>
      </c>
      <c r="J36" s="22" t="n">
        <f aca="false">J35+J33</f>
        <v>61833</v>
      </c>
      <c r="K36" s="22" t="n">
        <f aca="false">K35+K33</f>
        <v>78876.5</v>
      </c>
      <c r="L36" s="22" t="n">
        <f aca="false">L35+L33</f>
        <v>97873</v>
      </c>
      <c r="M36" s="22" t="n">
        <f aca="false">M35+M33</f>
        <v>118683</v>
      </c>
      <c r="N36" s="22" t="n">
        <f aca="false">N35+N33</f>
        <v>141306.5</v>
      </c>
      <c r="O36" s="22" t="n">
        <f aca="false">O35+O33</f>
        <v>172644</v>
      </c>
      <c r="P36" s="22" t="n">
        <f aca="false">P35+P33</f>
        <v>208306</v>
      </c>
      <c r="Q36" s="22" t="n">
        <f aca="false">Q35+Q33</f>
        <v>248153</v>
      </c>
      <c r="R36" s="22" t="n">
        <f aca="false">R35+R33</f>
        <v>292045.5</v>
      </c>
      <c r="S36" s="22" t="n">
        <f aca="false">S35+S33</f>
        <v>339704.5</v>
      </c>
      <c r="T36" s="22" t="n">
        <f aca="false">T35+T33</f>
        <v>390990.5</v>
      </c>
      <c r="U36" s="22" t="n">
        <f aca="false">U35+U33</f>
        <v>445764</v>
      </c>
      <c r="V36" s="22" t="n">
        <f aca="false">V35+V33</f>
        <v>503885.5</v>
      </c>
      <c r="W36" s="22" t="n">
        <f aca="false">W35+W33</f>
        <v>565215.5</v>
      </c>
      <c r="X36" s="22" t="n">
        <f aca="false">X35+X33</f>
        <v>629614.5</v>
      </c>
      <c r="Y36" s="22" t="n">
        <f aca="false">Y35+Y33</f>
        <v>697082.5</v>
      </c>
      <c r="Z36" s="22" t="n">
        <f aca="false">Z35+Z33</f>
        <v>767480</v>
      </c>
      <c r="AA36" s="22" t="n">
        <f aca="false">AA35+AA33</f>
        <v>847707.5</v>
      </c>
      <c r="AB36" s="22" t="n">
        <f aca="false">AB35+AB33</f>
        <v>933236</v>
      </c>
      <c r="AC36" s="22" t="n">
        <f aca="false">AC35+AC33</f>
        <v>1023926</v>
      </c>
      <c r="AD36" s="22" t="n">
        <f aca="false">AD35+AD33</f>
        <v>1119498.5</v>
      </c>
      <c r="AE36" s="22" t="n">
        <f aca="false">AE35+AE33</f>
        <v>1219814</v>
      </c>
      <c r="AF36" s="22" t="n">
        <f aca="false">AF35+AF33</f>
        <v>1324593.5</v>
      </c>
      <c r="AG36" s="22" t="n">
        <f aca="false">AG35+AG33</f>
        <v>1433697.5</v>
      </c>
      <c r="AH36" s="22" t="n">
        <f aca="false">AH35+AH33</f>
        <v>1546986.5</v>
      </c>
      <c r="AI36" s="22" t="n">
        <f aca="false">AI35+AI33</f>
        <v>1664321</v>
      </c>
      <c r="AJ36" s="22" t="n">
        <f aca="false">AJ35+AJ33</f>
        <v>1785561.5</v>
      </c>
      <c r="AK36" s="22" t="n">
        <f aca="false">AK35+AK33</f>
        <v>1910429</v>
      </c>
      <c r="AL36" s="22" t="n">
        <f aca="false">AL35+AL33</f>
        <v>2038784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2"/>
    <col collapsed="false" customWidth="true" hidden="false" outlineLevel="0" max="7" min="7" style="0" width="32"/>
    <col collapsed="false" customWidth="true" hidden="false" outlineLevel="0" max="8" min="8" style="0" width="14"/>
  </cols>
  <sheetData>
    <row r="1" customFormat="false" ht="17.35" hidden="false" customHeight="false" outlineLevel="0" collapsed="false">
      <c r="B1" s="1" t="s">
        <v>75</v>
      </c>
    </row>
    <row r="2" customFormat="false" ht="15" hidden="false" customHeight="false" outlineLevel="0" collapsed="false">
      <c r="B2" s="2" t="s">
        <v>76</v>
      </c>
    </row>
    <row r="4" customFormat="false" ht="15" hidden="false" customHeight="false" outlineLevel="0" collapsed="false">
      <c r="B4" s="2" t="s">
        <v>77</v>
      </c>
      <c r="C4" s="25" t="s">
        <v>78</v>
      </c>
      <c r="D4" s="25" t="s">
        <v>79</v>
      </c>
      <c r="E4" s="25" t="s">
        <v>80</v>
      </c>
    </row>
    <row r="6" customFormat="false" ht="15" hidden="false" customHeight="false" outlineLevel="0" collapsed="false">
      <c r="B6" s="16" t="s">
        <v>49</v>
      </c>
      <c r="C6" s="17"/>
      <c r="D6" s="17"/>
      <c r="E6" s="17"/>
      <c r="G6" s="5" t="s">
        <v>81</v>
      </c>
      <c r="H6" s="5"/>
    </row>
    <row r="7" customFormat="false" ht="15" hidden="false" customHeight="false" outlineLevel="0" collapsed="false">
      <c r="B7" s="4" t="s">
        <v>82</v>
      </c>
      <c r="C7" s="19" t="n">
        <f aca="false">SUM('Monthly Model'!C9:N9)</f>
        <v>24</v>
      </c>
      <c r="D7" s="19" t="n">
        <f aca="false">SUM('Monthly Model'!O9:Z9)</f>
        <v>48</v>
      </c>
      <c r="E7" s="19" t="n">
        <f aca="false">SUM('Monthly Model'!AA9:AL9)</f>
        <v>72</v>
      </c>
      <c r="G7" s="4" t="s">
        <v>83</v>
      </c>
      <c r="H7" s="26" t="n">
        <f aca="false">1/Assumptions!$C$18</f>
        <v>25</v>
      </c>
    </row>
    <row r="8" customFormat="false" ht="15" hidden="false" customHeight="false" outlineLevel="0" collapsed="false">
      <c r="B8" s="13" t="s">
        <v>53</v>
      </c>
      <c r="C8" s="20" t="n">
        <f aca="false">'Monthly Model'!N11</f>
        <v>19.3</v>
      </c>
      <c r="D8" s="20" t="n">
        <f aca="false">'Monthly Model'!Z11</f>
        <v>50.5</v>
      </c>
      <c r="E8" s="20" t="n">
        <f aca="false">'Monthly Model'!AL11</f>
        <v>89</v>
      </c>
      <c r="G8" s="4" t="s">
        <v>84</v>
      </c>
      <c r="H8" s="21" t="n">
        <f aca="false">Assumptions!$C$9-Assumptions!$C$21-Assumptions!$C$9*Assumptions!$C$23</f>
        <v>1395</v>
      </c>
    </row>
    <row r="9" customFormat="false" ht="15" hidden="false" customHeight="false" outlineLevel="0" collapsed="false">
      <c r="B9" s="13" t="s">
        <v>85</v>
      </c>
      <c r="C9" s="22" t="n">
        <f aca="false">'Monthly Model'!N11*Assumptions!$C$9*12</f>
        <v>347400</v>
      </c>
      <c r="D9" s="22" t="n">
        <f aca="false">'Monthly Model'!Z11*Assumptions!$C$9*12</f>
        <v>909000</v>
      </c>
      <c r="E9" s="22" t="n">
        <f aca="false">'Monthly Model'!AL11*Assumptions!$C$9*12</f>
        <v>1602000</v>
      </c>
      <c r="G9" s="4" t="s">
        <v>86</v>
      </c>
      <c r="H9" s="21" t="n">
        <f aca="false">H8*H7</f>
        <v>34875</v>
      </c>
    </row>
    <row r="10" customFormat="false" ht="15" hidden="false" customHeight="false" outlineLevel="0" collapsed="false">
      <c r="G10" s="4" t="s">
        <v>87</v>
      </c>
      <c r="H10" s="21" t="n">
        <f aca="false">Assumptions!$C$10*(1-Assumptions!$C$23)</f>
        <v>2425</v>
      </c>
    </row>
    <row r="11" customFormat="false" ht="15" hidden="false" customHeight="false" outlineLevel="0" collapsed="false">
      <c r="B11" s="16" t="s">
        <v>88</v>
      </c>
      <c r="C11" s="17"/>
      <c r="D11" s="17"/>
      <c r="E11" s="17"/>
      <c r="G11" s="13" t="s">
        <v>89</v>
      </c>
      <c r="H11" s="27" t="n">
        <f aca="false">H9+H10</f>
        <v>37300</v>
      </c>
    </row>
    <row r="12" customFormat="false" ht="15" hidden="false" customHeight="false" outlineLevel="0" collapsed="false">
      <c r="B12" s="13" t="s">
        <v>90</v>
      </c>
      <c r="C12" s="22" t="n">
        <f aca="false">SUM('Monthly Model'!C16:N16)</f>
        <v>262050</v>
      </c>
      <c r="D12" s="22" t="n">
        <f aca="false">SUM('Monthly Model'!O16:Z16)</f>
        <v>793950</v>
      </c>
      <c r="E12" s="22" t="n">
        <f aca="false">SUM('Monthly Model'!AA16:AL16)</f>
        <v>1492800</v>
      </c>
      <c r="G12" s="4" t="s">
        <v>91</v>
      </c>
      <c r="H12" s="21" t="n">
        <f aca="false">Assumptions!$C$24</f>
        <v>300</v>
      </c>
    </row>
    <row r="13" customFormat="false" ht="15" hidden="false" customHeight="false" outlineLevel="0" collapsed="false">
      <c r="B13" s="4" t="s">
        <v>63</v>
      </c>
      <c r="C13" s="21" t="n">
        <f aca="false">SUM('Monthly Model'!C23:N23)</f>
        <v>245506.5</v>
      </c>
      <c r="D13" s="21" t="n">
        <f aca="false">SUM('Monthly Model'!O23:Z23)</f>
        <v>742573.5</v>
      </c>
      <c r="E13" s="21" t="n">
        <f aca="false">SUM('Monthly Model'!AA23:AL23)</f>
        <v>1394904</v>
      </c>
      <c r="G13" s="13" t="s">
        <v>92</v>
      </c>
      <c r="H13" s="28" t="n">
        <f aca="false">H11/H12</f>
        <v>124.333333333333</v>
      </c>
    </row>
    <row r="14" customFormat="false" ht="15" hidden="false" customHeight="false" outlineLevel="0" collapsed="false">
      <c r="B14" s="2" t="s">
        <v>64</v>
      </c>
      <c r="C14" s="24" t="n">
        <f aca="false">IF(C12=0,0,C13/C12)</f>
        <v>0.936868918145392</v>
      </c>
      <c r="D14" s="24" t="n">
        <f aca="false">IF(D12=0,0,D13/D12)</f>
        <v>0.935290005667863</v>
      </c>
      <c r="E14" s="24" t="n">
        <f aca="false">IF(E12=0,0,E13/E12)</f>
        <v>0.934421221864952</v>
      </c>
      <c r="G14" s="4" t="s">
        <v>93</v>
      </c>
      <c r="H14" s="26" t="n">
        <f aca="false">H12/H8</f>
        <v>0.21505376344086</v>
      </c>
    </row>
    <row r="15" customFormat="false" ht="15" hidden="false" customHeight="true" outlineLevel="0" collapsed="false">
      <c r="B15" s="13" t="s">
        <v>71</v>
      </c>
      <c r="C15" s="22" t="n">
        <f aca="false">SUM('Monthly Model'!C33:N33)</f>
        <v>136306.5</v>
      </c>
      <c r="D15" s="22" t="n">
        <f aca="false">SUM('Monthly Model'!O33:Z33)</f>
        <v>626173.5</v>
      </c>
      <c r="E15" s="22" t="n">
        <f aca="false">SUM('Monthly Model'!AA33:AL33)</f>
        <v>1271304</v>
      </c>
      <c r="G15" s="29" t="s">
        <v>94</v>
      </c>
      <c r="H15" s="29"/>
    </row>
    <row r="16" customFormat="false" ht="15" hidden="false" customHeight="false" outlineLevel="0" collapsed="false">
      <c r="B16" s="2" t="s">
        <v>72</v>
      </c>
      <c r="C16" s="24" t="n">
        <f aca="false">IF(C12=0,0,C15/C12)</f>
        <v>0.520154550658271</v>
      </c>
      <c r="D16" s="24" t="n">
        <f aca="false">IF(D12=0,0,D15/D12)</f>
        <v>0.788681277158511</v>
      </c>
      <c r="E16" s="24" t="n">
        <f aca="false">IF(E12=0,0,E15/E12)</f>
        <v>0.851623794212219</v>
      </c>
      <c r="G16" s="29"/>
      <c r="H16" s="29"/>
    </row>
    <row r="17" customFormat="false" ht="15" hidden="false" customHeight="false" outlineLevel="0" collapsed="false">
      <c r="B17" s="13" t="s">
        <v>74</v>
      </c>
      <c r="C17" s="22" t="n">
        <f aca="false">'Monthly Model'!N36</f>
        <v>141306.5</v>
      </c>
      <c r="D17" s="22" t="n">
        <f aca="false">'Monthly Model'!Z36</f>
        <v>767480</v>
      </c>
      <c r="E17" s="22" t="n">
        <f aca="false">'Monthly Model'!AL36</f>
        <v>2038784</v>
      </c>
      <c r="G17" s="29"/>
      <c r="H17" s="29"/>
    </row>
    <row r="19" customFormat="false" ht="15" hidden="false" customHeight="false" outlineLevel="0" collapsed="false">
      <c r="B19" s="16" t="s">
        <v>95</v>
      </c>
      <c r="C19" s="17"/>
      <c r="D19" s="17"/>
      <c r="E19" s="17"/>
      <c r="G19" s="5" t="s">
        <v>96</v>
      </c>
      <c r="H19" s="5"/>
    </row>
    <row r="20" customFormat="false" ht="15" hidden="false" customHeight="false" outlineLevel="0" collapsed="false">
      <c r="B20" s="4" t="s">
        <v>97</v>
      </c>
      <c r="C20" s="21" t="n">
        <f aca="false">E9</f>
        <v>1602000</v>
      </c>
      <c r="G20" s="4" t="s">
        <v>98</v>
      </c>
      <c r="H20" s="26" t="n">
        <f aca="false">Assumptions!$C$9/500</f>
        <v>3</v>
      </c>
    </row>
    <row r="21" customFormat="false" ht="15" hidden="false" customHeight="false" outlineLevel="0" collapsed="false">
      <c r="B21" s="4" t="s">
        <v>99</v>
      </c>
      <c r="C21" s="30" t="n">
        <f aca="false">Assumptions!$C$30</f>
        <v>3</v>
      </c>
      <c r="G21" s="4" t="s">
        <v>100</v>
      </c>
      <c r="H21" s="26" t="n">
        <f aca="false">Assumptions!$C$10/500</f>
        <v>5</v>
      </c>
    </row>
    <row r="22" customFormat="false" ht="15" hidden="false" customHeight="false" outlineLevel="0" collapsed="false">
      <c r="B22" s="13" t="s">
        <v>101</v>
      </c>
      <c r="C22" s="31" t="n">
        <f aca="false">C20*C21</f>
        <v>4806000</v>
      </c>
    </row>
    <row r="24" customFormat="false" ht="15" hidden="false" customHeight="false" outlineLevel="0" collapsed="false">
      <c r="B24" s="3" t="s">
        <v>102</v>
      </c>
    </row>
    <row r="25" customFormat="false" ht="15" hidden="false" customHeight="true" outlineLevel="0" collapsed="false">
      <c r="B25" s="29" t="s">
        <v>103</v>
      </c>
      <c r="C25" s="29"/>
      <c r="D25" s="29"/>
      <c r="E25" s="29"/>
    </row>
    <row r="26" customFormat="false" ht="15" hidden="false" customHeight="false" outlineLevel="0" collapsed="false">
      <c r="B26" s="29"/>
      <c r="C26" s="29"/>
      <c r="D26" s="29"/>
      <c r="E26" s="29"/>
    </row>
    <row r="27" customFormat="false" ht="15" hidden="false" customHeight="false" outlineLevel="0" collapsed="false">
      <c r="B27" s="29"/>
      <c r="C27" s="29"/>
      <c r="D27" s="29"/>
      <c r="E27" s="29"/>
    </row>
    <row r="28" customFormat="false" ht="15" hidden="false" customHeight="false" outlineLevel="0" collapsed="false">
      <c r="B28" s="29"/>
      <c r="C28" s="29"/>
      <c r="D28" s="29"/>
      <c r="E28" s="29"/>
    </row>
    <row r="29" customFormat="false" ht="15" hidden="false" customHeight="false" outlineLevel="0" collapsed="false">
      <c r="B29" s="29"/>
      <c r="C29" s="29"/>
      <c r="D29" s="29"/>
      <c r="E29" s="29"/>
    </row>
    <row r="30" customFormat="false" ht="15" hidden="false" customHeight="false" outlineLevel="0" collapsed="false">
      <c r="B30" s="29"/>
      <c r="C30" s="29"/>
      <c r="D30" s="29"/>
      <c r="E30" s="29"/>
    </row>
  </sheetData>
  <mergeCells count="2">
    <mergeCell ref="G15:H17"/>
    <mergeCell ref="B25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2026-07-23T15:51:29Z</dcterms:created>
  <dc:creator>openpyxl</dc:creator>
  <dc:description/>
  <dc:language>en-US</dc:language>
  <cp:lastModifiedBy/>
  <dcterms:modified xsi:type="dcterms:W3CDTF">2026-07-23T15:51:29Z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