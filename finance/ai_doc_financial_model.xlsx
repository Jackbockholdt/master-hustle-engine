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Model" sheetId="2" state="visible" r:id="rId4"/>
    <sheet name="Annual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1" authorId="0">
      <text>
        <r>
          <rPr>
            <sz val="10"/>
            <rFont val="Arial"/>
            <family val="2"/>
          </rPr>
          <t xml:space="preserve">Pulled from Assumptions valuation input.</t>
        </r>
      </text>
    </comment>
  </commentList>
</comments>
</file>

<file path=xl/sharedStrings.xml><?xml version="1.0" encoding="utf-8"?>
<sst xmlns="http://schemas.openxmlformats.org/spreadsheetml/2006/main" count="129" uniqueCount="85">
  <si>
    <t xml:space="preserve">White-Label AI Infrastructure License</t>
  </si>
  <si>
    <t xml:space="preserve">Financial Model — Assumptions &amp; Scenario Levers</t>
  </si>
  <si>
    <t xml:space="preserve">HOW TO USE THIS MODEL</t>
  </si>
  <si>
    <t xml:space="preserve">Blue cells are inputs — change them to run a scenario. Black cells are formulas. Do not overwrite black cells.</t>
  </si>
  <si>
    <t xml:space="preserve">Yellow-filled cells are the key levers to stress-test first.</t>
  </si>
  <si>
    <t xml:space="preserve">PRODUCT &amp; PRICING</t>
  </si>
  <si>
    <t xml:space="preserve">Notes</t>
  </si>
  <si>
    <t xml:space="preserve">License price ($/customer/month)</t>
  </si>
  <si>
    <t xml:space="preserve">Per CLAUDE.md: White-Label AI Infrastructure License list price.</t>
  </si>
  <si>
    <t xml:space="preserve">CUSTOMER GROWTH</t>
  </si>
  <si>
    <t xml:space="preserve">Starting customers (Month 0)</t>
  </si>
  <si>
    <t xml:space="preserve">Model starts from zero paying licenses.</t>
  </si>
  <si>
    <t xml:space="preserve">New customers / month — Year 1</t>
  </si>
  <si>
    <t xml:space="preserve">Gross new licenses signed per month. Conservative for a single-founder cold-outreach engine.</t>
  </si>
  <si>
    <t xml:space="preserve">New customers / month — Year 2</t>
  </si>
  <si>
    <t xml:space="preserve">Assumes outreach engine + word-of-mouth roughly double the run rate.</t>
  </si>
  <si>
    <t xml:space="preserve">New customers / month — Year 3</t>
  </si>
  <si>
    <t xml:space="preserve">Continued ramp. Still modest vs. a funded sales team.</t>
  </si>
  <si>
    <t xml:space="preserve">Monthly logo churn</t>
  </si>
  <si>
    <t xml:space="preserve">4%/mo (~39%/yr). Realistic for early SMB SaaS; the single biggest lever on long-run size.</t>
  </si>
  <si>
    <t xml:space="preserve">COST STRUCTURE</t>
  </si>
  <si>
    <t xml:space="preserve">Variable COGS ($/customer/month)</t>
  </si>
  <si>
    <t xml:space="preserve">API/inference (Gemini), per-customer support &amp; onboarding allocation.</t>
  </si>
  <si>
    <t xml:space="preserve">Fixed infrastructure ($/month)</t>
  </si>
  <si>
    <t xml:space="preserve">Render service + Gmail relay + base tooling, independent of customer count.</t>
  </si>
  <si>
    <t xml:space="preserve">Payment processing (% of revenue)</t>
  </si>
  <si>
    <t xml:space="preserve">Stripe blended fee.</t>
  </si>
  <si>
    <t xml:space="preserve">Customer acquisition cost ($/new customer)</t>
  </si>
  <si>
    <t xml:space="preserve">Blended cost per signed license (outreach tooling, ad spend, time). Low because acquisition is automated.</t>
  </si>
  <si>
    <t xml:space="preserve">Fixed operating expenses ($/month)</t>
  </si>
  <si>
    <t xml:space="preserve">Software subscriptions, misc. overhead.</t>
  </si>
  <si>
    <t xml:space="preserve">Founder / owner draw ($/month)</t>
  </si>
  <si>
    <t xml:space="preserve">Real cost of the owner's time (~$96k/yr). A model that ignores this overstates profit. Set to 0 to see pre-salary economics.</t>
  </si>
  <si>
    <t xml:space="preserve">Starting cash ($)</t>
  </si>
  <si>
    <t xml:space="preserve">Cash on hand at Month 0.</t>
  </si>
  <si>
    <t xml:space="preserve">VALUATION (ILLUSTRATIVE)</t>
  </si>
  <si>
    <t xml:space="preserve">Exit multiple (EV / ending ARR)</t>
  </si>
  <si>
    <t xml:space="preserve">Illustrative private-SaaS ARR multiple. ~39%/yr churn would compress a real multiple toward the low end. NOT a strategic-acquirer premium — see disclaimer on Summary tab.</t>
  </si>
  <si>
    <t xml:space="preserve">Monthly Financial Model — 36 Months</t>
  </si>
  <si>
    <t xml:space="preserve">All figures monthly unless noted. Driven entirely by the Assumptions tab.</t>
  </si>
  <si>
    <t xml:space="preserve">Year</t>
  </si>
  <si>
    <t xml:space="preserve">Y1</t>
  </si>
  <si>
    <t xml:space="preserve">Y2</t>
  </si>
  <si>
    <t xml:space="preserve">Y3</t>
  </si>
  <si>
    <t xml:space="preserve">Month</t>
  </si>
  <si>
    <t xml:space="preserve">CUSTOMERS</t>
  </si>
  <si>
    <t xml:space="preserve">Beginning customers</t>
  </si>
  <si>
    <t xml:space="preserve">New customers (gross adds)</t>
  </si>
  <si>
    <t xml:space="preserve">Churned customers</t>
  </si>
  <si>
    <t xml:space="preserve">Ending customers</t>
  </si>
  <si>
    <t xml:space="preserve">REVENUE</t>
  </si>
  <si>
    <t xml:space="preserve">MRR (ending)</t>
  </si>
  <si>
    <t xml:space="preserve">Revenue</t>
  </si>
  <si>
    <t xml:space="preserve">COST OF GOODS SOLD</t>
  </si>
  <si>
    <t xml:space="preserve">Variable COGS</t>
  </si>
  <si>
    <t xml:space="preserve">Fixed infrastructure</t>
  </si>
  <si>
    <t xml:space="preserve">Payment processing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</si>
  <si>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</si>
  <si>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</si>
  <si>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</si>
  <si>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</si>
  <si>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Customer acquisition</t>
  </si>
  <si>
    <t xml:space="preserve">Founder / owner draw</t>
  </si>
  <si>
    <t xml:space="preserve">Fixed operating expenses</t>
  </si>
  <si>
    <t xml:space="preserve">Total OpEx</t>
  </si>
  <si>
    <t xml:space="preserve">PROFITABILITY &amp; CASH</t>
  </si>
  <si>
    <t xml:space="preserve">EBITDA</t>
  </si>
  <si>
    <t xml:space="preserve">EBITDA margin %</t>
  </si>
  <si>
    <t xml:space="preserve">Beginning cash</t>
  </si>
  <si>
    <t xml:space="preserve">Ending cash</t>
  </si>
  <si>
    <t xml:space="preserve">Annual Summary &amp; Illustrative Valuation</t>
  </si>
  <si>
    <t xml:space="preserve">Rolled up from the Monthly Model tab.</t>
  </si>
  <si>
    <t xml:space="preserve">($ per year unless noted)</t>
  </si>
  <si>
    <t xml:space="preserve">Year 1</t>
  </si>
  <si>
    <t xml:space="preserve">Year 2</t>
  </si>
  <si>
    <t xml:space="preserve">Year 3</t>
  </si>
  <si>
    <t xml:space="preserve">New customers signed</t>
  </si>
  <si>
    <t xml:space="preserve">Ending ARR</t>
  </si>
  <si>
    <t xml:space="preserve">P&amp;L</t>
  </si>
  <si>
    <t xml:space="preserve">ILLUSTRATIVE VALUATION (YEAR 3)</t>
  </si>
  <si>
    <t xml:space="preserve">Ending ARR (Year 3)</t>
  </si>
  <si>
    <t xml:space="preserve">Exit multiple (EV / ARR)</t>
  </si>
  <si>
    <t xml:space="preserve">Implied enterprise value</t>
  </si>
  <si>
    <t xml:space="preserve">DISCLAIMER</t>
  </si>
  <si>
    <t xml:space="preserve">This valuation is illustrative only. It multiplies modeled Year-3 ARR by a generic private-SaaS revenue multiple (an input you can change on the Assumptions tab). It is NOT an offer, and it is NOT a strategic-acquirer / 'sell to Apple' outcome — the README's big-corp exit scenario is not supported by any of these numbers. At this scale the realistic buyer is another operator or a small PE roll-up, and the ~39%/yr logo churn assumed here would pull a real multiple toward the low end of the range. Treat the implied value as a directional sanity check on the business you are actually building, not a price tag.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</si>
</sst>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;\(#,##0\);\-"/>
    <numFmt numFmtId="167" formatCode="0.0%"/>
    <numFmt numFmtId="168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8" customFormat="false" ht="15" hidden="false" customHeight="false" outlineLevel="0" collapsed="false">
      <c r="B8" s="5" t="s">
        <v>5</v>
      </c>
      <c r="C8" s="5"/>
      <c r="D8" s="5" t="s">
        <v>6</v>
      </c>
    </row>
    <row r="9" customFormat="false" ht="15" hidden="false" customHeight="false" outlineLevel="0" collapsed="false">
      <c r="B9" s="4" t="s">
        <v>7</v>
      </c>
      <c r="C9" s="6" t="n">
        <v>1500</v>
      </c>
      <c r="D9" s="2" t="s">
        <v>8</v>
      </c>
    </row>
    <row r="11" customFormat="false" ht="15" hidden="false" customHeight="false" outlineLevel="0" collapsed="false">
      <c r="B11" s="5" t="s">
        <v>9</v>
      </c>
      <c r="C11" s="5"/>
      <c r="D11" s="5" t="s">
        <v>6</v>
      </c>
    </row>
    <row r="12" customFormat="false" ht="15" hidden="false" customHeight="false" outlineLevel="0" collapsed="false">
      <c r="B12" s="4" t="s">
        <v>10</v>
      </c>
      <c r="C12" s="7" t="n">
        <v>0</v>
      </c>
      <c r="D12" s="2" t="s">
        <v>11</v>
      </c>
    </row>
    <row r="13" customFormat="false" ht="15" hidden="false" customHeight="false" outlineLevel="0" collapsed="false">
      <c r="B13" s="4" t="s">
        <v>12</v>
      </c>
      <c r="C13" s="8" t="n">
        <v>2</v>
      </c>
      <c r="D13" s="2" t="s">
        <v>13</v>
      </c>
    </row>
    <row r="14" customFormat="false" ht="15" hidden="false" customHeight="false" outlineLevel="0" collapsed="false">
      <c r="B14" s="4" t="s">
        <v>14</v>
      </c>
      <c r="C14" s="8" t="n">
        <v>4</v>
      </c>
      <c r="D14" s="2" t="s">
        <v>15</v>
      </c>
    </row>
    <row r="15" customFormat="false" ht="15" hidden="false" customHeight="false" outlineLevel="0" collapsed="false">
      <c r="B15" s="4" t="s">
        <v>16</v>
      </c>
      <c r="C15" s="8" t="n">
        <v>6</v>
      </c>
      <c r="D15" s="2" t="s">
        <v>17</v>
      </c>
    </row>
    <row r="16" customFormat="false" ht="15" hidden="false" customHeight="false" outlineLevel="0" collapsed="false">
      <c r="B16" s="4" t="s">
        <v>18</v>
      </c>
      <c r="C16" s="9" t="n">
        <v>0.04</v>
      </c>
      <c r="D16" s="2" t="s">
        <v>19</v>
      </c>
    </row>
    <row r="18" customFormat="false" ht="15" hidden="false" customHeight="false" outlineLevel="0" collapsed="false">
      <c r="B18" s="5" t="s">
        <v>20</v>
      </c>
      <c r="C18" s="5"/>
      <c r="D18" s="5" t="s">
        <v>6</v>
      </c>
    </row>
    <row r="19" customFormat="false" ht="15" hidden="false" customHeight="false" outlineLevel="0" collapsed="false">
      <c r="B19" s="4" t="s">
        <v>21</v>
      </c>
      <c r="C19" s="10" t="n">
        <v>60</v>
      </c>
      <c r="D19" s="2" t="s">
        <v>22</v>
      </c>
    </row>
    <row r="20" customFormat="false" ht="15" hidden="false" customHeight="false" outlineLevel="0" collapsed="false">
      <c r="B20" s="4" t="s">
        <v>23</v>
      </c>
      <c r="C20" s="10" t="n">
        <v>50</v>
      </c>
      <c r="D20" s="2" t="s">
        <v>24</v>
      </c>
    </row>
    <row r="21" customFormat="false" ht="15" hidden="false" customHeight="false" outlineLevel="0" collapsed="false">
      <c r="B21" s="4" t="s">
        <v>25</v>
      </c>
      <c r="C21" s="11" t="n">
        <v>0.03</v>
      </c>
      <c r="D21" s="2" t="s">
        <v>26</v>
      </c>
    </row>
    <row r="22" customFormat="false" ht="15" hidden="false" customHeight="false" outlineLevel="0" collapsed="false">
      <c r="B22" s="4" t="s">
        <v>27</v>
      </c>
      <c r="C22" s="6" t="n">
        <v>300</v>
      </c>
      <c r="D22" s="2" t="s">
        <v>28</v>
      </c>
    </row>
    <row r="23" customFormat="false" ht="15" hidden="false" customHeight="false" outlineLevel="0" collapsed="false">
      <c r="B23" s="4" t="s">
        <v>29</v>
      </c>
      <c r="C23" s="10" t="n">
        <v>500</v>
      </c>
      <c r="D23" s="2" t="s">
        <v>30</v>
      </c>
    </row>
    <row r="24" customFormat="false" ht="15" hidden="false" customHeight="false" outlineLevel="0" collapsed="false">
      <c r="B24" s="4" t="s">
        <v>31</v>
      </c>
      <c r="C24" s="6" t="n">
        <v>8000</v>
      </c>
      <c r="D24" s="2" t="s">
        <v>32</v>
      </c>
    </row>
    <row r="25" customFormat="false" ht="15" hidden="false" customHeight="false" outlineLevel="0" collapsed="false">
      <c r="B25" s="4" t="s">
        <v>33</v>
      </c>
      <c r="C25" s="10" t="n">
        <v>5000</v>
      </c>
      <c r="D25" s="2" t="s">
        <v>34</v>
      </c>
    </row>
    <row r="27" customFormat="false" ht="15" hidden="false" customHeight="false" outlineLevel="0" collapsed="false">
      <c r="B27" s="5" t="s">
        <v>35</v>
      </c>
      <c r="C27" s="5"/>
      <c r="D27" s="5" t="s">
        <v>6</v>
      </c>
    </row>
    <row r="28" customFormat="false" ht="15" hidden="false" customHeight="false" outlineLevel="0" collapsed="false">
      <c r="B28" s="4" t="s">
        <v>36</v>
      </c>
      <c r="C28" s="12" t="n">
        <v>3</v>
      </c>
      <c r="D28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8" min="3" style="0" width="10"/>
  </cols>
  <sheetData>
    <row r="1" customFormat="false" ht="17.35" hidden="false" customHeight="false" outlineLevel="0" collapsed="false">
      <c r="B1" s="1" t="s">
        <v>38</v>
      </c>
    </row>
    <row r="2" customFormat="false" ht="15" hidden="false" customHeight="false" outlineLevel="0" collapsed="false">
      <c r="B2" s="2" t="s">
        <v>39</v>
      </c>
    </row>
    <row r="4" customFormat="false" ht="15" hidden="false" customHeight="false" outlineLevel="0" collapsed="false">
      <c r="B4" s="13" t="s">
        <v>40</v>
      </c>
      <c r="C4" s="14" t="s">
        <v>41</v>
      </c>
      <c r="D4" s="14" t="s">
        <v>41</v>
      </c>
      <c r="E4" s="14" t="s">
        <v>41</v>
      </c>
      <c r="F4" s="14" t="s">
        <v>41</v>
      </c>
      <c r="G4" s="14" t="s">
        <v>41</v>
      </c>
      <c r="H4" s="14" t="s">
        <v>41</v>
      </c>
      <c r="I4" s="14" t="s">
        <v>41</v>
      </c>
      <c r="J4" s="14" t="s">
        <v>41</v>
      </c>
      <c r="K4" s="14" t="s">
        <v>41</v>
      </c>
      <c r="L4" s="14" t="s">
        <v>41</v>
      </c>
      <c r="M4" s="14" t="s">
        <v>41</v>
      </c>
      <c r="N4" s="14" t="s">
        <v>41</v>
      </c>
      <c r="O4" s="14" t="s">
        <v>42</v>
      </c>
      <c r="P4" s="14" t="s">
        <v>42</v>
      </c>
      <c r="Q4" s="14" t="s">
        <v>42</v>
      </c>
      <c r="R4" s="14" t="s">
        <v>42</v>
      </c>
      <c r="S4" s="14" t="s">
        <v>42</v>
      </c>
      <c r="T4" s="14" t="s">
        <v>42</v>
      </c>
      <c r="U4" s="14" t="s">
        <v>42</v>
      </c>
      <c r="V4" s="14" t="s">
        <v>42</v>
      </c>
      <c r="W4" s="14" t="s">
        <v>42</v>
      </c>
      <c r="X4" s="14" t="s">
        <v>42</v>
      </c>
      <c r="Y4" s="14" t="s">
        <v>42</v>
      </c>
      <c r="Z4" s="14" t="s">
        <v>42</v>
      </c>
      <c r="AA4" s="14" t="s">
        <v>43</v>
      </c>
      <c r="AB4" s="14" t="s">
        <v>43</v>
      </c>
      <c r="AC4" s="14" t="s">
        <v>43</v>
      </c>
      <c r="AD4" s="14" t="s">
        <v>43</v>
      </c>
      <c r="AE4" s="14" t="s">
        <v>43</v>
      </c>
      <c r="AF4" s="14" t="s">
        <v>43</v>
      </c>
      <c r="AG4" s="14" t="s">
        <v>43</v>
      </c>
      <c r="AH4" s="14" t="s">
        <v>43</v>
      </c>
      <c r="AI4" s="14" t="s">
        <v>43</v>
      </c>
      <c r="AJ4" s="14" t="s">
        <v>43</v>
      </c>
      <c r="AK4" s="14" t="s">
        <v>43</v>
      </c>
      <c r="AL4" s="14" t="s">
        <v>43</v>
      </c>
    </row>
    <row r="5" customFormat="false" ht="15" hidden="false" customHeight="false" outlineLevel="0" collapsed="false">
      <c r="B5" s="13" t="s">
        <v>44</v>
      </c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  <c r="AH5" s="15" t="n">
        <v>32</v>
      </c>
      <c r="AI5" s="15" t="n">
        <v>33</v>
      </c>
      <c r="AJ5" s="15" t="n">
        <v>34</v>
      </c>
      <c r="AK5" s="15" t="n">
        <v>35</v>
      </c>
      <c r="AL5" s="15" t="n">
        <v>36</v>
      </c>
    </row>
    <row r="7" customFormat="false" ht="15" hidden="false" customHeight="false" outlineLevel="0" collapsed="false">
      <c r="B7" s="16" t="s">
        <v>45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customFormat="false" ht="15" hidden="false" customHeight="false" outlineLevel="0" collapsed="false">
      <c r="B8" s="4" t="s">
        <v>46</v>
      </c>
      <c r="C8" s="18" t="n">
        <f aca="false">Assumptions!$C$12</f>
        <v>0</v>
      </c>
      <c r="D8" s="19" t="n">
        <f aca="false">C11</f>
        <v>2</v>
      </c>
      <c r="E8" s="19" t="n">
        <f aca="false">D11</f>
        <v>3.9</v>
      </c>
      <c r="F8" s="19" t="n">
        <f aca="false">E11</f>
        <v>5.7</v>
      </c>
      <c r="G8" s="19" t="n">
        <f aca="false">F11</f>
        <v>7.5</v>
      </c>
      <c r="H8" s="19" t="n">
        <f aca="false">G11</f>
        <v>9.2</v>
      </c>
      <c r="I8" s="19" t="n">
        <f aca="false">H11</f>
        <v>10.8</v>
      </c>
      <c r="J8" s="19" t="n">
        <f aca="false">I11</f>
        <v>12.4</v>
      </c>
      <c r="K8" s="19" t="n">
        <f aca="false">J11</f>
        <v>13.9</v>
      </c>
      <c r="L8" s="19" t="n">
        <f aca="false">K11</f>
        <v>15.3</v>
      </c>
      <c r="M8" s="19" t="n">
        <f aca="false">L11</f>
        <v>16.7</v>
      </c>
      <c r="N8" s="19" t="n">
        <f aca="false">M11</f>
        <v>18</v>
      </c>
      <c r="O8" s="19" t="n">
        <f aca="false">N11</f>
        <v>19.3</v>
      </c>
      <c r="P8" s="19" t="n">
        <f aca="false">O11</f>
        <v>22.5</v>
      </c>
      <c r="Q8" s="19" t="n">
        <f aca="false">P11</f>
        <v>25.6</v>
      </c>
      <c r="R8" s="19" t="n">
        <f aca="false">Q11</f>
        <v>28.6</v>
      </c>
      <c r="S8" s="19" t="n">
        <f aca="false">R11</f>
        <v>31.5</v>
      </c>
      <c r="T8" s="19" t="n">
        <f aca="false">S11</f>
        <v>34.2</v>
      </c>
      <c r="U8" s="19" t="n">
        <f aca="false">T11</f>
        <v>36.8</v>
      </c>
      <c r="V8" s="19" t="n">
        <f aca="false">U11</f>
        <v>39.3</v>
      </c>
      <c r="W8" s="19" t="n">
        <f aca="false">V11</f>
        <v>41.7</v>
      </c>
      <c r="X8" s="19" t="n">
        <f aca="false">W11</f>
        <v>44</v>
      </c>
      <c r="Y8" s="19" t="n">
        <f aca="false">X11</f>
        <v>46.2</v>
      </c>
      <c r="Z8" s="19" t="n">
        <f aca="false">Y11</f>
        <v>48.4</v>
      </c>
      <c r="AA8" s="19" t="n">
        <f aca="false">Z11</f>
        <v>50.5</v>
      </c>
      <c r="AB8" s="19" t="n">
        <f aca="false">AA11</f>
        <v>54.5</v>
      </c>
      <c r="AC8" s="19" t="n">
        <f aca="false">AB11</f>
        <v>58.3</v>
      </c>
      <c r="AD8" s="19" t="n">
        <f aca="false">AC11</f>
        <v>62</v>
      </c>
      <c r="AE8" s="19" t="n">
        <f aca="false">AD11</f>
        <v>65.5</v>
      </c>
      <c r="AF8" s="19" t="n">
        <f aca="false">AE11</f>
        <v>68.9</v>
      </c>
      <c r="AG8" s="19" t="n">
        <f aca="false">AF11</f>
        <v>72.1</v>
      </c>
      <c r="AH8" s="19" t="n">
        <f aca="false">AG11</f>
        <v>75.2</v>
      </c>
      <c r="AI8" s="19" t="n">
        <f aca="false">AH11</f>
        <v>78.2</v>
      </c>
      <c r="AJ8" s="19" t="n">
        <f aca="false">AI11</f>
        <v>81.1</v>
      </c>
      <c r="AK8" s="19" t="n">
        <f aca="false">AJ11</f>
        <v>83.9</v>
      </c>
      <c r="AL8" s="19" t="n">
        <f aca="false">AK11</f>
        <v>86.5</v>
      </c>
    </row>
    <row r="9" customFormat="false" ht="15" hidden="false" customHeight="false" outlineLevel="0" collapsed="false">
      <c r="B9" s="4" t="s">
        <v>47</v>
      </c>
      <c r="C9" s="19" t="n">
        <f aca="false">IF(C$5&lt;=12,Assumptions!$C$13,IF(C$5&lt;=24,Assumptions!$C$14,Assumptions!$C$15))</f>
        <v>2</v>
      </c>
      <c r="D9" s="19" t="n">
        <f aca="false">IF(D$5&lt;=12,Assumptions!$C$13,IF(D$5&lt;=24,Assumptions!$C$14,Assumptions!$C$15))</f>
        <v>2</v>
      </c>
      <c r="E9" s="19" t="n">
        <f aca="false">IF(E$5&lt;=12,Assumptions!$C$13,IF(E$5&lt;=24,Assumptions!$C$14,Assumptions!$C$15))</f>
        <v>2</v>
      </c>
      <c r="F9" s="19" t="n">
        <f aca="false">IF(F$5&lt;=12,Assumptions!$C$13,IF(F$5&lt;=24,Assumptions!$C$14,Assumptions!$C$15))</f>
        <v>2</v>
      </c>
      <c r="G9" s="19" t="n">
        <f aca="false">IF(G$5&lt;=12,Assumptions!$C$13,IF(G$5&lt;=24,Assumptions!$C$14,Assumptions!$C$15))</f>
        <v>2</v>
      </c>
      <c r="H9" s="19" t="n">
        <f aca="false">IF(H$5&lt;=12,Assumptions!$C$13,IF(H$5&lt;=24,Assumptions!$C$14,Assumptions!$C$15))</f>
        <v>2</v>
      </c>
      <c r="I9" s="19" t="n">
        <f aca="false">IF(I$5&lt;=12,Assumptions!$C$13,IF(I$5&lt;=24,Assumptions!$C$14,Assumptions!$C$15))</f>
        <v>2</v>
      </c>
      <c r="J9" s="19" t="n">
        <f aca="false">IF(J$5&lt;=12,Assumptions!$C$13,IF(J$5&lt;=24,Assumptions!$C$14,Assumptions!$C$15))</f>
        <v>2</v>
      </c>
      <c r="K9" s="19" t="n">
        <f aca="false">IF(K$5&lt;=12,Assumptions!$C$13,IF(K$5&lt;=24,Assumptions!$C$14,Assumptions!$C$15))</f>
        <v>2</v>
      </c>
      <c r="L9" s="19" t="n">
        <f aca="false">IF(L$5&lt;=12,Assumptions!$C$13,IF(L$5&lt;=24,Assumptions!$C$14,Assumptions!$C$15))</f>
        <v>2</v>
      </c>
      <c r="M9" s="19" t="n">
        <f aca="false">IF(M$5&lt;=12,Assumptions!$C$13,IF(M$5&lt;=24,Assumptions!$C$14,Assumptions!$C$15))</f>
        <v>2</v>
      </c>
      <c r="N9" s="19" t="n">
        <f aca="false">IF(N$5&lt;=12,Assumptions!$C$13,IF(N$5&lt;=24,Assumptions!$C$14,Assumptions!$C$15))</f>
        <v>2</v>
      </c>
      <c r="O9" s="19" t="n">
        <f aca="false">IF(O$5&lt;=12,Assumptions!$C$13,IF(O$5&lt;=24,Assumptions!$C$14,Assumptions!$C$15))</f>
        <v>4</v>
      </c>
      <c r="P9" s="19" t="n">
        <f aca="false">IF(P$5&lt;=12,Assumptions!$C$13,IF(P$5&lt;=24,Assumptions!$C$14,Assumptions!$C$15))</f>
        <v>4</v>
      </c>
      <c r="Q9" s="19" t="n">
        <f aca="false">IF(Q$5&lt;=12,Assumptions!$C$13,IF(Q$5&lt;=24,Assumptions!$C$14,Assumptions!$C$15))</f>
        <v>4</v>
      </c>
      <c r="R9" s="19" t="n">
        <f aca="false">IF(R$5&lt;=12,Assumptions!$C$13,IF(R$5&lt;=24,Assumptions!$C$14,Assumptions!$C$15))</f>
        <v>4</v>
      </c>
      <c r="S9" s="19" t="n">
        <f aca="false">IF(S$5&lt;=12,Assumptions!$C$13,IF(S$5&lt;=24,Assumptions!$C$14,Assumptions!$C$15))</f>
        <v>4</v>
      </c>
      <c r="T9" s="19" t="n">
        <f aca="false">IF(T$5&lt;=12,Assumptions!$C$13,IF(T$5&lt;=24,Assumptions!$C$14,Assumptions!$C$15))</f>
        <v>4</v>
      </c>
      <c r="U9" s="19" t="n">
        <f aca="false">IF(U$5&lt;=12,Assumptions!$C$13,IF(U$5&lt;=24,Assumptions!$C$14,Assumptions!$C$15))</f>
        <v>4</v>
      </c>
      <c r="V9" s="19" t="n">
        <f aca="false">IF(V$5&lt;=12,Assumptions!$C$13,IF(V$5&lt;=24,Assumptions!$C$14,Assumptions!$C$15))</f>
        <v>4</v>
      </c>
      <c r="W9" s="19" t="n">
        <f aca="false">IF(W$5&lt;=12,Assumptions!$C$13,IF(W$5&lt;=24,Assumptions!$C$14,Assumptions!$C$15))</f>
        <v>4</v>
      </c>
      <c r="X9" s="19" t="n">
        <f aca="false">IF(X$5&lt;=12,Assumptions!$C$13,IF(X$5&lt;=24,Assumptions!$C$14,Assumptions!$C$15))</f>
        <v>4</v>
      </c>
      <c r="Y9" s="19" t="n">
        <f aca="false">IF(Y$5&lt;=12,Assumptions!$C$13,IF(Y$5&lt;=24,Assumptions!$C$14,Assumptions!$C$15))</f>
        <v>4</v>
      </c>
      <c r="Z9" s="19" t="n">
        <f aca="false">IF(Z$5&lt;=12,Assumptions!$C$13,IF(Z$5&lt;=24,Assumptions!$C$14,Assumptions!$C$15))</f>
        <v>4</v>
      </c>
      <c r="AA9" s="19" t="n">
        <f aca="false">IF(AA$5&lt;=12,Assumptions!$C$13,IF(AA$5&lt;=24,Assumptions!$C$14,Assumptions!$C$15))</f>
        <v>6</v>
      </c>
      <c r="AB9" s="19" t="n">
        <f aca="false">IF(AB$5&lt;=12,Assumptions!$C$13,IF(AB$5&lt;=24,Assumptions!$C$14,Assumptions!$C$15))</f>
        <v>6</v>
      </c>
      <c r="AC9" s="19" t="n">
        <f aca="false">IF(AC$5&lt;=12,Assumptions!$C$13,IF(AC$5&lt;=24,Assumptions!$C$14,Assumptions!$C$15))</f>
        <v>6</v>
      </c>
      <c r="AD9" s="19" t="n">
        <f aca="false">IF(AD$5&lt;=12,Assumptions!$C$13,IF(AD$5&lt;=24,Assumptions!$C$14,Assumptions!$C$15))</f>
        <v>6</v>
      </c>
      <c r="AE9" s="19" t="n">
        <f aca="false">IF(AE$5&lt;=12,Assumptions!$C$13,IF(AE$5&lt;=24,Assumptions!$C$14,Assumptions!$C$15))</f>
        <v>6</v>
      </c>
      <c r="AF9" s="19" t="n">
        <f aca="false">IF(AF$5&lt;=12,Assumptions!$C$13,IF(AF$5&lt;=24,Assumptions!$C$14,Assumptions!$C$15))</f>
        <v>6</v>
      </c>
      <c r="AG9" s="19" t="n">
        <f aca="false">IF(AG$5&lt;=12,Assumptions!$C$13,IF(AG$5&lt;=24,Assumptions!$C$14,Assumptions!$C$15))</f>
        <v>6</v>
      </c>
      <c r="AH9" s="19" t="n">
        <f aca="false">IF(AH$5&lt;=12,Assumptions!$C$13,IF(AH$5&lt;=24,Assumptions!$C$14,Assumptions!$C$15))</f>
        <v>6</v>
      </c>
      <c r="AI9" s="19" t="n">
        <f aca="false">IF(AI$5&lt;=12,Assumptions!$C$13,IF(AI$5&lt;=24,Assumptions!$C$14,Assumptions!$C$15))</f>
        <v>6</v>
      </c>
      <c r="AJ9" s="19" t="n">
        <f aca="false">IF(AJ$5&lt;=12,Assumptions!$C$13,IF(AJ$5&lt;=24,Assumptions!$C$14,Assumptions!$C$15))</f>
        <v>6</v>
      </c>
      <c r="AK9" s="19" t="n">
        <f aca="false">IF(AK$5&lt;=12,Assumptions!$C$13,IF(AK$5&lt;=24,Assumptions!$C$14,Assumptions!$C$15))</f>
        <v>6</v>
      </c>
      <c r="AL9" s="19" t="n">
        <f aca="false">IF(AL$5&lt;=12,Assumptions!$C$13,IF(AL$5&lt;=24,Assumptions!$C$14,Assumptions!$C$15))</f>
        <v>6</v>
      </c>
    </row>
    <row r="10" customFormat="false" ht="15" hidden="false" customHeight="false" outlineLevel="0" collapsed="false">
      <c r="B10" s="4" t="s">
        <v>48</v>
      </c>
      <c r="C10" s="19" t="n">
        <f aca="false">ROUND(C8*Assumptions!$C$16,1)</f>
        <v>0</v>
      </c>
      <c r="D10" s="19" t="n">
        <f aca="false">ROUND(D8*Assumptions!$C$16,1)</f>
        <v>0.1</v>
      </c>
      <c r="E10" s="19" t="n">
        <f aca="false">ROUND(E8*Assumptions!$C$16,1)</f>
        <v>0.2</v>
      </c>
      <c r="F10" s="19" t="n">
        <f aca="false">ROUND(F8*Assumptions!$C$16,1)</f>
        <v>0.2</v>
      </c>
      <c r="G10" s="19" t="n">
        <f aca="false">ROUND(G8*Assumptions!$C$16,1)</f>
        <v>0.3</v>
      </c>
      <c r="H10" s="19" t="n">
        <f aca="false">ROUND(H8*Assumptions!$C$16,1)</f>
        <v>0.4</v>
      </c>
      <c r="I10" s="19" t="n">
        <f aca="false">ROUND(I8*Assumptions!$C$16,1)</f>
        <v>0.4</v>
      </c>
      <c r="J10" s="19" t="n">
        <f aca="false">ROUND(J8*Assumptions!$C$16,1)</f>
        <v>0.5</v>
      </c>
      <c r="K10" s="19" t="n">
        <f aca="false">ROUND(K8*Assumptions!$C$16,1)</f>
        <v>0.6</v>
      </c>
      <c r="L10" s="19" t="n">
        <f aca="false">ROUND(L8*Assumptions!$C$16,1)</f>
        <v>0.6</v>
      </c>
      <c r="M10" s="19" t="n">
        <f aca="false">ROUND(M8*Assumptions!$C$16,1)</f>
        <v>0.7</v>
      </c>
      <c r="N10" s="19" t="n">
        <f aca="false">ROUND(N8*Assumptions!$C$16,1)</f>
        <v>0.7</v>
      </c>
      <c r="O10" s="19" t="n">
        <f aca="false">ROUND(O8*Assumptions!$C$16,1)</f>
        <v>0.8</v>
      </c>
      <c r="P10" s="19" t="n">
        <f aca="false">ROUND(P8*Assumptions!$C$16,1)</f>
        <v>0.9</v>
      </c>
      <c r="Q10" s="19" t="n">
        <f aca="false">ROUND(Q8*Assumptions!$C$16,1)</f>
        <v>1</v>
      </c>
      <c r="R10" s="19" t="n">
        <f aca="false">ROUND(R8*Assumptions!$C$16,1)</f>
        <v>1.1</v>
      </c>
      <c r="S10" s="19" t="n">
        <f aca="false">ROUND(S8*Assumptions!$C$16,1)</f>
        <v>1.3</v>
      </c>
      <c r="T10" s="19" t="n">
        <f aca="false">ROUND(T8*Assumptions!$C$16,1)</f>
        <v>1.4</v>
      </c>
      <c r="U10" s="19" t="n">
        <f aca="false">ROUND(U8*Assumptions!$C$16,1)</f>
        <v>1.5</v>
      </c>
      <c r="V10" s="19" t="n">
        <f aca="false">ROUND(V8*Assumptions!$C$16,1)</f>
        <v>1.6</v>
      </c>
      <c r="W10" s="19" t="n">
        <f aca="false">ROUND(W8*Assumptions!$C$16,1)</f>
        <v>1.7</v>
      </c>
      <c r="X10" s="19" t="n">
        <f aca="false">ROUND(X8*Assumptions!$C$16,1)</f>
        <v>1.8</v>
      </c>
      <c r="Y10" s="19" t="n">
        <f aca="false">ROUND(Y8*Assumptions!$C$16,1)</f>
        <v>1.8</v>
      </c>
      <c r="Z10" s="19" t="n">
        <f aca="false">ROUND(Z8*Assumptions!$C$16,1)</f>
        <v>1.9</v>
      </c>
      <c r="AA10" s="19" t="n">
        <f aca="false">ROUND(AA8*Assumptions!$C$16,1)</f>
        <v>2</v>
      </c>
      <c r="AB10" s="19" t="n">
        <f aca="false">ROUND(AB8*Assumptions!$C$16,1)</f>
        <v>2.2</v>
      </c>
      <c r="AC10" s="19" t="n">
        <f aca="false">ROUND(AC8*Assumptions!$C$16,1)</f>
        <v>2.3</v>
      </c>
      <c r="AD10" s="19" t="n">
        <f aca="false">ROUND(AD8*Assumptions!$C$16,1)</f>
        <v>2.5</v>
      </c>
      <c r="AE10" s="19" t="n">
        <f aca="false">ROUND(AE8*Assumptions!$C$16,1)</f>
        <v>2.6</v>
      </c>
      <c r="AF10" s="19" t="n">
        <f aca="false">ROUND(AF8*Assumptions!$C$16,1)</f>
        <v>2.8</v>
      </c>
      <c r="AG10" s="19" t="n">
        <f aca="false">ROUND(AG8*Assumptions!$C$16,1)</f>
        <v>2.9</v>
      </c>
      <c r="AH10" s="19" t="n">
        <f aca="false">ROUND(AH8*Assumptions!$C$16,1)</f>
        <v>3</v>
      </c>
      <c r="AI10" s="19" t="n">
        <f aca="false">ROUND(AI8*Assumptions!$C$16,1)</f>
        <v>3.1</v>
      </c>
      <c r="AJ10" s="19" t="n">
        <f aca="false">ROUND(AJ8*Assumptions!$C$16,1)</f>
        <v>3.2</v>
      </c>
      <c r="AK10" s="19" t="n">
        <f aca="false">ROUND(AK8*Assumptions!$C$16,1)</f>
        <v>3.4</v>
      </c>
      <c r="AL10" s="19" t="n">
        <f aca="false">ROUND(AL8*Assumptions!$C$16,1)</f>
        <v>3.5</v>
      </c>
    </row>
    <row r="11" customFormat="false" ht="15" hidden="false" customHeight="false" outlineLevel="0" collapsed="false">
      <c r="B11" s="13" t="s">
        <v>49</v>
      </c>
      <c r="C11" s="20" t="n">
        <f aca="false">C8+C9-C10</f>
        <v>2</v>
      </c>
      <c r="D11" s="20" t="n">
        <f aca="false">D8+D9-D10</f>
        <v>3.9</v>
      </c>
      <c r="E11" s="20" t="n">
        <f aca="false">E8+E9-E10</f>
        <v>5.7</v>
      </c>
      <c r="F11" s="20" t="n">
        <f aca="false">F8+F9-F10</f>
        <v>7.5</v>
      </c>
      <c r="G11" s="20" t="n">
        <f aca="false">G8+G9-G10</f>
        <v>9.2</v>
      </c>
      <c r="H11" s="20" t="n">
        <f aca="false">H8+H9-H10</f>
        <v>10.8</v>
      </c>
      <c r="I11" s="20" t="n">
        <f aca="false">I8+I9-I10</f>
        <v>12.4</v>
      </c>
      <c r="J11" s="20" t="n">
        <f aca="false">J8+J9-J10</f>
        <v>13.9</v>
      </c>
      <c r="K11" s="20" t="n">
        <f aca="false">K8+K9-K10</f>
        <v>15.3</v>
      </c>
      <c r="L11" s="20" t="n">
        <f aca="false">L8+L9-L10</f>
        <v>16.7</v>
      </c>
      <c r="M11" s="20" t="n">
        <f aca="false">M8+M9-M10</f>
        <v>18</v>
      </c>
      <c r="N11" s="20" t="n">
        <f aca="false">N8+N9-N10</f>
        <v>19.3</v>
      </c>
      <c r="O11" s="20" t="n">
        <f aca="false">O8+O9-O10</f>
        <v>22.5</v>
      </c>
      <c r="P11" s="20" t="n">
        <f aca="false">P8+P9-P10</f>
        <v>25.6</v>
      </c>
      <c r="Q11" s="20" t="n">
        <f aca="false">Q8+Q9-Q10</f>
        <v>28.6</v>
      </c>
      <c r="R11" s="20" t="n">
        <f aca="false">R8+R9-R10</f>
        <v>31.5</v>
      </c>
      <c r="S11" s="20" t="n">
        <f aca="false">S8+S9-S10</f>
        <v>34.2</v>
      </c>
      <c r="T11" s="20" t="n">
        <f aca="false">T8+T9-T10</f>
        <v>36.8</v>
      </c>
      <c r="U11" s="20" t="n">
        <f aca="false">U8+U9-U10</f>
        <v>39.3</v>
      </c>
      <c r="V11" s="20" t="n">
        <f aca="false">V8+V9-V10</f>
        <v>41.7</v>
      </c>
      <c r="W11" s="20" t="n">
        <f aca="false">W8+W9-W10</f>
        <v>44</v>
      </c>
      <c r="X11" s="20" t="n">
        <f aca="false">X8+X9-X10</f>
        <v>46.2</v>
      </c>
      <c r="Y11" s="20" t="n">
        <f aca="false">Y8+Y9-Y10</f>
        <v>48.4</v>
      </c>
      <c r="Z11" s="20" t="n">
        <f aca="false">Z8+Z9-Z10</f>
        <v>50.5</v>
      </c>
      <c r="AA11" s="20" t="n">
        <f aca="false">AA8+AA9-AA10</f>
        <v>54.5</v>
      </c>
      <c r="AB11" s="20" t="n">
        <f aca="false">AB8+AB9-AB10</f>
        <v>58.3</v>
      </c>
      <c r="AC11" s="20" t="n">
        <f aca="false">AC8+AC9-AC10</f>
        <v>62</v>
      </c>
      <c r="AD11" s="20" t="n">
        <f aca="false">AD8+AD9-AD10</f>
        <v>65.5</v>
      </c>
      <c r="AE11" s="20" t="n">
        <f aca="false">AE8+AE9-AE10</f>
        <v>68.9</v>
      </c>
      <c r="AF11" s="20" t="n">
        <f aca="false">AF8+AF9-AF10</f>
        <v>72.1</v>
      </c>
      <c r="AG11" s="20" t="n">
        <f aca="false">AG8+AG9-AG10</f>
        <v>75.2</v>
      </c>
      <c r="AH11" s="20" t="n">
        <f aca="false">AH8+AH9-AH10</f>
        <v>78.2</v>
      </c>
      <c r="AI11" s="20" t="n">
        <f aca="false">AI8+AI9-AI10</f>
        <v>81.1</v>
      </c>
      <c r="AJ11" s="20" t="n">
        <f aca="false">AJ8+AJ9-AJ10</f>
        <v>83.9</v>
      </c>
      <c r="AK11" s="20" t="n">
        <f aca="false">AK8+AK9-AK10</f>
        <v>86.5</v>
      </c>
      <c r="AL11" s="20" t="n">
        <f aca="false">AL8+AL9-AL10</f>
        <v>89</v>
      </c>
    </row>
    <row r="13" customFormat="false" ht="15" hidden="false" customHeight="false" outlineLevel="0" collapsed="false">
      <c r="B13" s="16" t="s">
        <v>50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customFormat="false" ht="15" hidden="false" customHeight="false" outlineLevel="0" collapsed="false">
      <c r="B14" s="4" t="s">
        <v>51</v>
      </c>
      <c r="C14" s="21" t="n">
        <f aca="false">C11*Assumptions!$C$9</f>
        <v>3000</v>
      </c>
      <c r="D14" s="21" t="n">
        <f aca="false">D11*Assumptions!$C$9</f>
        <v>5850</v>
      </c>
      <c r="E14" s="21" t="n">
        <f aca="false">E11*Assumptions!$C$9</f>
        <v>8550</v>
      </c>
      <c r="F14" s="21" t="n">
        <f aca="false">F11*Assumptions!$C$9</f>
        <v>11250</v>
      </c>
      <c r="G14" s="21" t="n">
        <f aca="false">G11*Assumptions!$C$9</f>
        <v>13800</v>
      </c>
      <c r="H14" s="21" t="n">
        <f aca="false">H11*Assumptions!$C$9</f>
        <v>16200</v>
      </c>
      <c r="I14" s="21" t="n">
        <f aca="false">I11*Assumptions!$C$9</f>
        <v>18600</v>
      </c>
      <c r="J14" s="21" t="n">
        <f aca="false">J11*Assumptions!$C$9</f>
        <v>20850</v>
      </c>
      <c r="K14" s="21" t="n">
        <f aca="false">K11*Assumptions!$C$9</f>
        <v>22950</v>
      </c>
      <c r="L14" s="21" t="n">
        <f aca="false">L11*Assumptions!$C$9</f>
        <v>25050</v>
      </c>
      <c r="M14" s="21" t="n">
        <f aca="false">M11*Assumptions!$C$9</f>
        <v>27000</v>
      </c>
      <c r="N14" s="21" t="n">
        <f aca="false">N11*Assumptions!$C$9</f>
        <v>28950</v>
      </c>
      <c r="O14" s="21" t="n">
        <f aca="false">O11*Assumptions!$C$9</f>
        <v>33750</v>
      </c>
      <c r="P14" s="21" t="n">
        <f aca="false">P11*Assumptions!$C$9</f>
        <v>38400</v>
      </c>
      <c r="Q14" s="21" t="n">
        <f aca="false">Q11*Assumptions!$C$9</f>
        <v>42900</v>
      </c>
      <c r="R14" s="21" t="n">
        <f aca="false">R11*Assumptions!$C$9</f>
        <v>47250</v>
      </c>
      <c r="S14" s="21" t="n">
        <f aca="false">S11*Assumptions!$C$9</f>
        <v>51300</v>
      </c>
      <c r="T14" s="21" t="n">
        <f aca="false">T11*Assumptions!$C$9</f>
        <v>55200</v>
      </c>
      <c r="U14" s="21" t="n">
        <f aca="false">U11*Assumptions!$C$9</f>
        <v>58950</v>
      </c>
      <c r="V14" s="21" t="n">
        <f aca="false">V11*Assumptions!$C$9</f>
        <v>62550</v>
      </c>
      <c r="W14" s="21" t="n">
        <f aca="false">W11*Assumptions!$C$9</f>
        <v>66000</v>
      </c>
      <c r="X14" s="21" t="n">
        <f aca="false">X11*Assumptions!$C$9</f>
        <v>69300</v>
      </c>
      <c r="Y14" s="21" t="n">
        <f aca="false">Y11*Assumptions!$C$9</f>
        <v>72600</v>
      </c>
      <c r="Z14" s="21" t="n">
        <f aca="false">Z11*Assumptions!$C$9</f>
        <v>75750</v>
      </c>
      <c r="AA14" s="21" t="n">
        <f aca="false">AA11*Assumptions!$C$9</f>
        <v>81750</v>
      </c>
      <c r="AB14" s="21" t="n">
        <f aca="false">AB11*Assumptions!$C$9</f>
        <v>87450</v>
      </c>
      <c r="AC14" s="21" t="n">
        <f aca="false">AC11*Assumptions!$C$9</f>
        <v>93000</v>
      </c>
      <c r="AD14" s="21" t="n">
        <f aca="false">AD11*Assumptions!$C$9</f>
        <v>98250</v>
      </c>
      <c r="AE14" s="21" t="n">
        <f aca="false">AE11*Assumptions!$C$9</f>
        <v>103350</v>
      </c>
      <c r="AF14" s="21" t="n">
        <f aca="false">AF11*Assumptions!$C$9</f>
        <v>108150</v>
      </c>
      <c r="AG14" s="21" t="n">
        <f aca="false">AG11*Assumptions!$C$9</f>
        <v>112800</v>
      </c>
      <c r="AH14" s="21" t="n">
        <f aca="false">AH11*Assumptions!$C$9</f>
        <v>117300</v>
      </c>
      <c r="AI14" s="21" t="n">
        <f aca="false">AI11*Assumptions!$C$9</f>
        <v>121650</v>
      </c>
      <c r="AJ14" s="21" t="n">
        <f aca="false">AJ11*Assumptions!$C$9</f>
        <v>125850</v>
      </c>
      <c r="AK14" s="21" t="n">
        <f aca="false">AK11*Assumptions!$C$9</f>
        <v>129750</v>
      </c>
      <c r="AL14" s="21" t="n">
        <f aca="false">AL11*Assumptions!$C$9</f>
        <v>133500</v>
      </c>
    </row>
    <row r="15" customFormat="false" ht="15" hidden="false" customHeight="false" outlineLevel="0" collapsed="false">
      <c r="B15" s="13" t="s">
        <v>52</v>
      </c>
      <c r="C15" s="22" t="n">
        <f aca="false">C14</f>
        <v>3000</v>
      </c>
      <c r="D15" s="22" t="n">
        <f aca="false">D14</f>
        <v>5850</v>
      </c>
      <c r="E15" s="22" t="n">
        <f aca="false">E14</f>
        <v>8550</v>
      </c>
      <c r="F15" s="22" t="n">
        <f aca="false">F14</f>
        <v>11250</v>
      </c>
      <c r="G15" s="22" t="n">
        <f aca="false">G14</f>
        <v>13800</v>
      </c>
      <c r="H15" s="22" t="n">
        <f aca="false">H14</f>
        <v>16200</v>
      </c>
      <c r="I15" s="22" t="n">
        <f aca="false">I14</f>
        <v>18600</v>
      </c>
      <c r="J15" s="22" t="n">
        <f aca="false">J14</f>
        <v>20850</v>
      </c>
      <c r="K15" s="22" t="n">
        <f aca="false">K14</f>
        <v>22950</v>
      </c>
      <c r="L15" s="22" t="n">
        <f aca="false">L14</f>
        <v>25050</v>
      </c>
      <c r="M15" s="22" t="n">
        <f aca="false">M14</f>
        <v>27000</v>
      </c>
      <c r="N15" s="22" t="n">
        <f aca="false">N14</f>
        <v>28950</v>
      </c>
      <c r="O15" s="22" t="n">
        <f aca="false">O14</f>
        <v>33750</v>
      </c>
      <c r="P15" s="22" t="n">
        <f aca="false">P14</f>
        <v>38400</v>
      </c>
      <c r="Q15" s="22" t="n">
        <f aca="false">Q14</f>
        <v>42900</v>
      </c>
      <c r="R15" s="22" t="n">
        <f aca="false">R14</f>
        <v>47250</v>
      </c>
      <c r="S15" s="22" t="n">
        <f aca="false">S14</f>
        <v>51300</v>
      </c>
      <c r="T15" s="22" t="n">
        <f aca="false">T14</f>
        <v>55200</v>
      </c>
      <c r="U15" s="22" t="n">
        <f aca="false">U14</f>
        <v>58950</v>
      </c>
      <c r="V15" s="22" t="n">
        <f aca="false">V14</f>
        <v>62550</v>
      </c>
      <c r="W15" s="22" t="n">
        <f aca="false">W14</f>
        <v>66000</v>
      </c>
      <c r="X15" s="22" t="n">
        <f aca="false">X14</f>
        <v>69300</v>
      </c>
      <c r="Y15" s="22" t="n">
        <f aca="false">Y14</f>
        <v>72600</v>
      </c>
      <c r="Z15" s="22" t="n">
        <f aca="false">Z14</f>
        <v>75750</v>
      </c>
      <c r="AA15" s="22" t="n">
        <f aca="false">AA14</f>
        <v>81750</v>
      </c>
      <c r="AB15" s="22" t="n">
        <f aca="false">AB14</f>
        <v>87450</v>
      </c>
      <c r="AC15" s="22" t="n">
        <f aca="false">AC14</f>
        <v>93000</v>
      </c>
      <c r="AD15" s="22" t="n">
        <f aca="false">AD14</f>
        <v>98250</v>
      </c>
      <c r="AE15" s="22" t="n">
        <f aca="false">AE14</f>
        <v>103350</v>
      </c>
      <c r="AF15" s="22" t="n">
        <f aca="false">AF14</f>
        <v>108150</v>
      </c>
      <c r="AG15" s="22" t="n">
        <f aca="false">AG14</f>
        <v>112800</v>
      </c>
      <c r="AH15" s="22" t="n">
        <f aca="false">AH14</f>
        <v>117300</v>
      </c>
      <c r="AI15" s="22" t="n">
        <f aca="false">AI14</f>
        <v>121650</v>
      </c>
      <c r="AJ15" s="22" t="n">
        <f aca="false">AJ14</f>
        <v>125850</v>
      </c>
      <c r="AK15" s="22" t="n">
        <f aca="false">AK14</f>
        <v>129750</v>
      </c>
      <c r="AL15" s="22" t="n">
        <f aca="false">AL14</f>
        <v>133500</v>
      </c>
    </row>
    <row r="17" customFormat="false" ht="15" hidden="false" customHeight="false" outlineLevel="0" collapsed="false">
      <c r="B17" s="16" t="s">
        <v>53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customFormat="false" ht="15" hidden="false" customHeight="false" outlineLevel="0" collapsed="false">
      <c r="B18" s="4" t="s">
        <v>54</v>
      </c>
      <c r="C18" s="21" t="n">
        <f aca="false">C11*Assumptions!$C$19</f>
        <v>120</v>
      </c>
      <c r="D18" s="21" t="n">
        <f aca="false">D11*Assumptions!$C$19</f>
        <v>234</v>
      </c>
      <c r="E18" s="21" t="n">
        <f aca="false">E11*Assumptions!$C$19</f>
        <v>342</v>
      </c>
      <c r="F18" s="21" t="n">
        <f aca="false">F11*Assumptions!$C$19</f>
        <v>450</v>
      </c>
      <c r="G18" s="21" t="n">
        <f aca="false">G11*Assumptions!$C$19</f>
        <v>552</v>
      </c>
      <c r="H18" s="21" t="n">
        <f aca="false">H11*Assumptions!$C$19</f>
        <v>648</v>
      </c>
      <c r="I18" s="21" t="n">
        <f aca="false">I11*Assumptions!$C$19</f>
        <v>744</v>
      </c>
      <c r="J18" s="21" t="n">
        <f aca="false">J11*Assumptions!$C$19</f>
        <v>834</v>
      </c>
      <c r="K18" s="21" t="n">
        <f aca="false">K11*Assumptions!$C$19</f>
        <v>918</v>
      </c>
      <c r="L18" s="21" t="n">
        <f aca="false">L11*Assumptions!$C$19</f>
        <v>1002</v>
      </c>
      <c r="M18" s="21" t="n">
        <f aca="false">M11*Assumptions!$C$19</f>
        <v>1080</v>
      </c>
      <c r="N18" s="21" t="n">
        <f aca="false">N11*Assumptions!$C$19</f>
        <v>1158</v>
      </c>
      <c r="O18" s="21" t="n">
        <f aca="false">O11*Assumptions!$C$19</f>
        <v>1350</v>
      </c>
      <c r="P18" s="21" t="n">
        <f aca="false">P11*Assumptions!$C$19</f>
        <v>1536</v>
      </c>
      <c r="Q18" s="21" t="n">
        <f aca="false">Q11*Assumptions!$C$19</f>
        <v>1716</v>
      </c>
      <c r="R18" s="21" t="n">
        <f aca="false">R11*Assumptions!$C$19</f>
        <v>1890</v>
      </c>
      <c r="S18" s="21" t="n">
        <f aca="false">S11*Assumptions!$C$19</f>
        <v>2052</v>
      </c>
      <c r="T18" s="21" t="n">
        <f aca="false">T11*Assumptions!$C$19</f>
        <v>2208</v>
      </c>
      <c r="U18" s="21" t="n">
        <f aca="false">U11*Assumptions!$C$19</f>
        <v>2358</v>
      </c>
      <c r="V18" s="21" t="n">
        <f aca="false">V11*Assumptions!$C$19</f>
        <v>2502</v>
      </c>
      <c r="W18" s="21" t="n">
        <f aca="false">W11*Assumptions!$C$19</f>
        <v>2640</v>
      </c>
      <c r="X18" s="21" t="n">
        <f aca="false">X11*Assumptions!$C$19</f>
        <v>2772</v>
      </c>
      <c r="Y18" s="21" t="n">
        <f aca="false">Y11*Assumptions!$C$19</f>
        <v>2904</v>
      </c>
      <c r="Z18" s="21" t="n">
        <f aca="false">Z11*Assumptions!$C$19</f>
        <v>3030</v>
      </c>
      <c r="AA18" s="21" t="n">
        <f aca="false">AA11*Assumptions!$C$19</f>
        <v>3270</v>
      </c>
      <c r="AB18" s="21" t="n">
        <f aca="false">AB11*Assumptions!$C$19</f>
        <v>3498</v>
      </c>
      <c r="AC18" s="21" t="n">
        <f aca="false">AC11*Assumptions!$C$19</f>
        <v>3720</v>
      </c>
      <c r="AD18" s="21" t="n">
        <f aca="false">AD11*Assumptions!$C$19</f>
        <v>3930</v>
      </c>
      <c r="AE18" s="21" t="n">
        <f aca="false">AE11*Assumptions!$C$19</f>
        <v>4134</v>
      </c>
      <c r="AF18" s="21" t="n">
        <f aca="false">AF11*Assumptions!$C$19</f>
        <v>4326</v>
      </c>
      <c r="AG18" s="21" t="n">
        <f aca="false">AG11*Assumptions!$C$19</f>
        <v>4512</v>
      </c>
      <c r="AH18" s="21" t="n">
        <f aca="false">AH11*Assumptions!$C$19</f>
        <v>4692</v>
      </c>
      <c r="AI18" s="21" t="n">
        <f aca="false">AI11*Assumptions!$C$19</f>
        <v>4866</v>
      </c>
      <c r="AJ18" s="21" t="n">
        <f aca="false">AJ11*Assumptions!$C$19</f>
        <v>5034</v>
      </c>
      <c r="AK18" s="21" t="n">
        <f aca="false">AK11*Assumptions!$C$19</f>
        <v>5190</v>
      </c>
      <c r="AL18" s="21" t="n">
        <f aca="false">AL11*Assumptions!$C$19</f>
        <v>5340</v>
      </c>
    </row>
    <row r="19" customFormat="false" ht="15" hidden="false" customHeight="false" outlineLevel="0" collapsed="false">
      <c r="B19" s="4" t="s">
        <v>55</v>
      </c>
      <c r="C19" s="23" t="n">
        <f aca="false">Assumptions!$C$20</f>
        <v>50</v>
      </c>
      <c r="D19" s="23" t="n">
        <f aca="false">Assumptions!$C$20</f>
        <v>50</v>
      </c>
      <c r="E19" s="23" t="n">
        <f aca="false">Assumptions!$C$20</f>
        <v>50</v>
      </c>
      <c r="F19" s="23" t="n">
        <f aca="false">Assumptions!$C$20</f>
        <v>50</v>
      </c>
      <c r="G19" s="23" t="n">
        <f aca="false">Assumptions!$C$20</f>
        <v>50</v>
      </c>
      <c r="H19" s="23" t="n">
        <f aca="false">Assumptions!$C$20</f>
        <v>50</v>
      </c>
      <c r="I19" s="23" t="n">
        <f aca="false">Assumptions!$C$20</f>
        <v>50</v>
      </c>
      <c r="J19" s="23" t="n">
        <f aca="false">Assumptions!$C$20</f>
        <v>50</v>
      </c>
      <c r="K19" s="23" t="n">
        <f aca="false">Assumptions!$C$20</f>
        <v>50</v>
      </c>
      <c r="L19" s="23" t="n">
        <f aca="false">Assumptions!$C$20</f>
        <v>50</v>
      </c>
      <c r="M19" s="23" t="n">
        <f aca="false">Assumptions!$C$20</f>
        <v>50</v>
      </c>
      <c r="N19" s="23" t="n">
        <f aca="false">Assumptions!$C$20</f>
        <v>50</v>
      </c>
      <c r="O19" s="23" t="n">
        <f aca="false">Assumptions!$C$20</f>
        <v>50</v>
      </c>
      <c r="P19" s="23" t="n">
        <f aca="false">Assumptions!$C$20</f>
        <v>50</v>
      </c>
      <c r="Q19" s="23" t="n">
        <f aca="false">Assumptions!$C$20</f>
        <v>50</v>
      </c>
      <c r="R19" s="23" t="n">
        <f aca="false">Assumptions!$C$20</f>
        <v>50</v>
      </c>
      <c r="S19" s="23" t="n">
        <f aca="false">Assumptions!$C$20</f>
        <v>50</v>
      </c>
      <c r="T19" s="23" t="n">
        <f aca="false">Assumptions!$C$20</f>
        <v>50</v>
      </c>
      <c r="U19" s="23" t="n">
        <f aca="false">Assumptions!$C$20</f>
        <v>50</v>
      </c>
      <c r="V19" s="23" t="n">
        <f aca="false">Assumptions!$C$20</f>
        <v>50</v>
      </c>
      <c r="W19" s="23" t="n">
        <f aca="false">Assumptions!$C$20</f>
        <v>50</v>
      </c>
      <c r="X19" s="23" t="n">
        <f aca="false">Assumptions!$C$20</f>
        <v>50</v>
      </c>
      <c r="Y19" s="23" t="n">
        <f aca="false">Assumptions!$C$20</f>
        <v>50</v>
      </c>
      <c r="Z19" s="23" t="n">
        <f aca="false">Assumptions!$C$20</f>
        <v>50</v>
      </c>
      <c r="AA19" s="23" t="n">
        <f aca="false">Assumptions!$C$20</f>
        <v>50</v>
      </c>
      <c r="AB19" s="23" t="n">
        <f aca="false">Assumptions!$C$20</f>
        <v>50</v>
      </c>
      <c r="AC19" s="23" t="n">
        <f aca="false">Assumptions!$C$20</f>
        <v>50</v>
      </c>
      <c r="AD19" s="23" t="n">
        <f aca="false">Assumptions!$C$20</f>
        <v>50</v>
      </c>
      <c r="AE19" s="23" t="n">
        <f aca="false">Assumptions!$C$20</f>
        <v>50</v>
      </c>
      <c r="AF19" s="23" t="n">
        <f aca="false">Assumptions!$C$20</f>
        <v>50</v>
      </c>
      <c r="AG19" s="23" t="n">
        <f aca="false">Assumptions!$C$20</f>
        <v>50</v>
      </c>
      <c r="AH19" s="23" t="n">
        <f aca="false">Assumptions!$C$20</f>
        <v>50</v>
      </c>
      <c r="AI19" s="23" t="n">
        <f aca="false">Assumptions!$C$20</f>
        <v>50</v>
      </c>
      <c r="AJ19" s="23" t="n">
        <f aca="false">Assumptions!$C$20</f>
        <v>50</v>
      </c>
      <c r="AK19" s="23" t="n">
        <f aca="false">Assumptions!$C$20</f>
        <v>50</v>
      </c>
      <c r="AL19" s="23" t="n">
        <f aca="false">Assumptions!$C$20</f>
        <v>50</v>
      </c>
    </row>
    <row r="20" customFormat="false" ht="15" hidden="false" customHeight="false" outlineLevel="0" collapsed="false">
      <c r="B20" s="4" t="s">
        <v>56</v>
      </c>
      <c r="C20" s="21" t="n">
        <f aca="false">C15*Assumptions!$C$21</f>
        <v>90</v>
      </c>
      <c r="D20" s="21" t="n">
        <f aca="false">D15*Assumptions!$C$21</f>
        <v>175.5</v>
      </c>
      <c r="E20" s="21" t="n">
        <f aca="false">E15*Assumptions!$C$21</f>
        <v>256.5</v>
      </c>
      <c r="F20" s="21" t="n">
        <f aca="false">F15*Assumptions!$C$21</f>
        <v>337.5</v>
      </c>
      <c r="G20" s="21" t="n">
        <f aca="false">G15*Assumptions!$C$21</f>
        <v>414</v>
      </c>
      <c r="H20" s="21" t="n">
        <f aca="false">H15*Assumptions!$C$21</f>
        <v>486</v>
      </c>
      <c r="I20" s="21" t="n">
        <f aca="false">I15*Assumptions!$C$21</f>
        <v>558</v>
      </c>
      <c r="J20" s="21" t="n">
        <f aca="false">J15*Assumptions!$C$21</f>
        <v>625.5</v>
      </c>
      <c r="K20" s="21" t="n">
        <f aca="false">K15*Assumptions!$C$21</f>
        <v>688.5</v>
      </c>
      <c r="L20" s="21" t="n">
        <f aca="false">L15*Assumptions!$C$21</f>
        <v>751.5</v>
      </c>
      <c r="M20" s="21" t="n">
        <f aca="false">M15*Assumptions!$C$21</f>
        <v>810</v>
      </c>
      <c r="N20" s="21" t="n">
        <f aca="false">N15*Assumptions!$C$21</f>
        <v>868.5</v>
      </c>
      <c r="O20" s="21" t="n">
        <f aca="false">O15*Assumptions!$C$21</f>
        <v>1012.5</v>
      </c>
      <c r="P20" s="21" t="n">
        <f aca="false">P15*Assumptions!$C$21</f>
        <v>1152</v>
      </c>
      <c r="Q20" s="21" t="n">
        <f aca="false">Q15*Assumptions!$C$21</f>
        <v>1287</v>
      </c>
      <c r="R20" s="21" t="n">
        <f aca="false">R15*Assumptions!$C$21</f>
        <v>1417.5</v>
      </c>
      <c r="S20" s="21" t="n">
        <f aca="false">S15*Assumptions!$C$21</f>
        <v>1539</v>
      </c>
      <c r="T20" s="21" t="n">
        <f aca="false">T15*Assumptions!$C$21</f>
        <v>1656</v>
      </c>
      <c r="U20" s="21" t="n">
        <f aca="false">U15*Assumptions!$C$21</f>
        <v>1768.5</v>
      </c>
      <c r="V20" s="21" t="n">
        <f aca="false">V15*Assumptions!$C$21</f>
        <v>1876.5</v>
      </c>
      <c r="W20" s="21" t="n">
        <f aca="false">W15*Assumptions!$C$21</f>
        <v>1980</v>
      </c>
      <c r="X20" s="21" t="n">
        <f aca="false">X15*Assumptions!$C$21</f>
        <v>2079</v>
      </c>
      <c r="Y20" s="21" t="n">
        <f aca="false">Y15*Assumptions!$C$21</f>
        <v>2178</v>
      </c>
      <c r="Z20" s="21" t="n">
        <f aca="false">Z15*Assumptions!$C$21</f>
        <v>2272.5</v>
      </c>
      <c r="AA20" s="21" t="n">
        <f aca="false">AA15*Assumptions!$C$21</f>
        <v>2452.5</v>
      </c>
      <c r="AB20" s="21" t="n">
        <f aca="false">AB15*Assumptions!$C$21</f>
        <v>2623.5</v>
      </c>
      <c r="AC20" s="21" t="n">
        <f aca="false">AC15*Assumptions!$C$21</f>
        <v>2790</v>
      </c>
      <c r="AD20" s="21" t="n">
        <f aca="false">AD15*Assumptions!$C$21</f>
        <v>2947.5</v>
      </c>
      <c r="AE20" s="21" t="n">
        <f aca="false">AE15*Assumptions!$C$21</f>
        <v>3100.5</v>
      </c>
      <c r="AF20" s="21" t="n">
        <f aca="false">AF15*Assumptions!$C$21</f>
        <v>3244.5</v>
      </c>
      <c r="AG20" s="21" t="n">
        <f aca="false">AG15*Assumptions!$C$21</f>
        <v>3384</v>
      </c>
      <c r="AH20" s="21" t="n">
        <f aca="false">AH15*Assumptions!$C$21</f>
        <v>3519</v>
      </c>
      <c r="AI20" s="21" t="n">
        <f aca="false">AI15*Assumptions!$C$21</f>
        <v>3649.5</v>
      </c>
      <c r="AJ20" s="21" t="n">
        <f aca="false">AJ15*Assumptions!$C$21</f>
        <v>3775.5</v>
      </c>
      <c r="AK20" s="21" t="n">
        <f aca="false">AK15*Assumptions!$C$21</f>
        <v>3892.5</v>
      </c>
      <c r="AL20" s="21" t="n">
        <f aca="false">AL15*Assumptions!$C$21</f>
        <v>4005</v>
      </c>
    </row>
    <row r="21" customFormat="false" ht="15" hidden="false" customHeight="false" outlineLevel="0" collapsed="false">
      <c r="B21" s="13" t="s">
        <v>57</v>
      </c>
      <c r="C21" s="22" t="n">
        <f aca="false">SUM(C18:C20)</f>
        <v>260</v>
      </c>
      <c r="D21" s="22" t="n">
        <f aca="false">SUM(D18:D20)</f>
        <v>459.5</v>
      </c>
      <c r="E21" s="22" t="n">
        <f aca="false">SUM(E18:E20)</f>
        <v>648.5</v>
      </c>
      <c r="F21" s="22" t="n">
        <f aca="false">SUM(F18:F20)</f>
        <v>837.5</v>
      </c>
      <c r="G21" s="22" t="n">
        <f aca="false">SUM(G18:G20)</f>
        <v>1016</v>
      </c>
      <c r="H21" s="22" t="n">
        <f aca="false">SUM(H18:H20)</f>
        <v>1184</v>
      </c>
      <c r="I21" s="22" t="n">
        <f aca="false">SUM(I18:I20)</f>
        <v>1352</v>
      </c>
      <c r="J21" s="22" t="n">
        <f aca="false">SUM(J18:J20)</f>
        <v>1509.5</v>
      </c>
      <c r="K21" s="22" t="n">
        <f aca="false">SUM(K18:K20)</f>
        <v>1656.5</v>
      </c>
      <c r="L21" s="22" t="n">
        <f aca="false">SUM(L18:L20)</f>
        <v>1803.5</v>
      </c>
      <c r="M21" s="22" t="n">
        <f aca="false">SUM(M18:M20)</f>
        <v>1940</v>
      </c>
      <c r="N21" s="22" t="n">
        <f aca="false">SUM(N18:N20)</f>
        <v>2076.5</v>
      </c>
      <c r="O21" s="22" t="n">
        <f aca="false">SUM(O18:O20)</f>
        <v>2412.5</v>
      </c>
      <c r="P21" s="22" t="n">
        <f aca="false">SUM(P18:P20)</f>
        <v>2738</v>
      </c>
      <c r="Q21" s="22" t="n">
        <f aca="false">SUM(Q18:Q20)</f>
        <v>3053</v>
      </c>
      <c r="R21" s="22" t="n">
        <f aca="false">SUM(R18:R20)</f>
        <v>3357.5</v>
      </c>
      <c r="S21" s="22" t="n">
        <f aca="false">SUM(S18:S20)</f>
        <v>3641</v>
      </c>
      <c r="T21" s="22" t="n">
        <f aca="false">SUM(T18:T20)</f>
        <v>3914</v>
      </c>
      <c r="U21" s="22" t="n">
        <f aca="false">SUM(U18:U20)</f>
        <v>4176.5</v>
      </c>
      <c r="V21" s="22" t="n">
        <f aca="false">SUM(V18:V20)</f>
        <v>4428.5</v>
      </c>
      <c r="W21" s="22" t="n">
        <f aca="false">SUM(W18:W20)</f>
        <v>4670</v>
      </c>
      <c r="X21" s="22" t="n">
        <f aca="false">SUM(X18:X20)</f>
        <v>4901</v>
      </c>
      <c r="Y21" s="22" t="n">
        <f aca="false">SUM(Y18:Y20)</f>
        <v>5132</v>
      </c>
      <c r="Z21" s="22" t="n">
        <f aca="false">SUM(Z18:Z20)</f>
        <v>5352.5</v>
      </c>
      <c r="AA21" s="22" t="n">
        <f aca="false">SUM(AA18:AA20)</f>
        <v>5772.5</v>
      </c>
      <c r="AB21" s="22" t="n">
        <f aca="false">SUM(AB18:AB20)</f>
        <v>6171.5</v>
      </c>
      <c r="AC21" s="22" t="n">
        <f aca="false">SUM(AC18:AC20)</f>
        <v>6560</v>
      </c>
      <c r="AD21" s="22" t="n">
        <f aca="false">SUM(AD18:AD20)</f>
        <v>6927.5</v>
      </c>
      <c r="AE21" s="22" t="n">
        <f aca="false">SUM(AE18:AE20)</f>
        <v>7284.5</v>
      </c>
      <c r="AF21" s="22" t="n">
        <f aca="false">SUM(AF18:AF20)</f>
        <v>7620.5</v>
      </c>
      <c r="AG21" s="22" t="n">
        <f aca="false">SUM(AG18:AG20)</f>
        <v>7946</v>
      </c>
      <c r="AH21" s="22" t="n">
        <f aca="false">SUM(AH18:AH20)</f>
        <v>8261</v>
      </c>
      <c r="AI21" s="22" t="n">
        <f aca="false">SUM(AI18:AI20)</f>
        <v>8565.5</v>
      </c>
      <c r="AJ21" s="22" t="n">
        <f aca="false">SUM(AJ18:AJ20)</f>
        <v>8859.5</v>
      </c>
      <c r="AK21" s="22" t="n">
        <f aca="false">SUM(AK18:AK20)</f>
        <v>9132.5</v>
      </c>
      <c r="AL21" s="22" t="n">
        <f aca="false">SUM(AL18:AL20)</f>
        <v>9395</v>
      </c>
    </row>
    <row r="22" customFormat="false" ht="15" hidden="false" customHeight="false" outlineLevel="0" collapsed="false">
      <c r="B22" s="13" t="s">
        <v>58</v>
      </c>
      <c r="C22" s="22" t="n">
        <f aca="false">C15-C21</f>
        <v>2740</v>
      </c>
      <c r="D22" s="22" t="n">
        <f aca="false">D15-D21</f>
        <v>5390.5</v>
      </c>
      <c r="E22" s="22" t="n">
        <f aca="false">E15-E21</f>
        <v>7901.5</v>
      </c>
      <c r="F22" s="22" t="n">
        <f aca="false">F15-F21</f>
        <v>10412.5</v>
      </c>
      <c r="G22" s="22" t="n">
        <f aca="false">G15-G21</f>
        <v>12784</v>
      </c>
      <c r="H22" s="22" t="n">
        <f aca="false">H15-H21</f>
        <v>15016</v>
      </c>
      <c r="I22" s="22" t="n">
        <f aca="false">I15-I21</f>
        <v>17248</v>
      </c>
      <c r="J22" s="22" t="n">
        <f aca="false">J15-J21</f>
        <v>19340.5</v>
      </c>
      <c r="K22" s="22" t="n">
        <f aca="false">K15-K21</f>
        <v>21293.5</v>
      </c>
      <c r="L22" s="22" t="n">
        <f aca="false">L15-L21</f>
        <v>23246.5</v>
      </c>
      <c r="M22" s="22" t="n">
        <f aca="false">M15-M21</f>
        <v>25060</v>
      </c>
      <c r="N22" s="22" t="n">
        <f aca="false">N15-N21</f>
        <v>26873.5</v>
      </c>
      <c r="O22" s="22" t="n">
        <f aca="false">O15-O21</f>
        <v>31337.5</v>
      </c>
      <c r="P22" s="22" t="n">
        <f aca="false">P15-P21</f>
        <v>35662</v>
      </c>
      <c r="Q22" s="22" t="n">
        <f aca="false">Q15-Q21</f>
        <v>39847</v>
      </c>
      <c r="R22" s="22" t="n">
        <f aca="false">R15-R21</f>
        <v>43892.5</v>
      </c>
      <c r="S22" s="22" t="n">
        <f aca="false">S15-S21</f>
        <v>47659</v>
      </c>
      <c r="T22" s="22" t="n">
        <f aca="false">T15-T21</f>
        <v>51286</v>
      </c>
      <c r="U22" s="22" t="n">
        <f aca="false">U15-U21</f>
        <v>54773.5</v>
      </c>
      <c r="V22" s="22" t="n">
        <f aca="false">V15-V21</f>
        <v>58121.5</v>
      </c>
      <c r="W22" s="22" t="n">
        <f aca="false">W15-W21</f>
        <v>61330</v>
      </c>
      <c r="X22" s="22" t="n">
        <f aca="false">X15-X21</f>
        <v>64399</v>
      </c>
      <c r="Y22" s="22" t="n">
        <f aca="false">Y15-Y21</f>
        <v>67468</v>
      </c>
      <c r="Z22" s="22" t="n">
        <f aca="false">Z15-Z21</f>
        <v>70397.5</v>
      </c>
      <c r="AA22" s="22" t="n">
        <f aca="false">AA15-AA21</f>
        <v>75977.5</v>
      </c>
      <c r="AB22" s="22" t="n">
        <f aca="false">AB15-AB21</f>
        <v>81278.5</v>
      </c>
      <c r="AC22" s="22" t="n">
        <f aca="false">AC15-AC21</f>
        <v>86440</v>
      </c>
      <c r="AD22" s="22" t="n">
        <f aca="false">AD15-AD21</f>
        <v>91322.5</v>
      </c>
      <c r="AE22" s="22" t="n">
        <f aca="false">AE15-AE21</f>
        <v>96065.5</v>
      </c>
      <c r="AF22" s="22" t="n">
        <f aca="false">AF15-AF21</f>
        <v>100529.5</v>
      </c>
      <c r="AG22" s="22" t="n">
        <f aca="false">AG15-AG21</f>
        <v>104854</v>
      </c>
      <c r="AH22" s="22" t="n">
        <f aca="false">AH15-AH21</f>
        <v>109039</v>
      </c>
      <c r="AI22" s="22" t="n">
        <f aca="false">AI15-AI21</f>
        <v>113084.5</v>
      </c>
      <c r="AJ22" s="22" t="n">
        <f aca="false">AJ15-AJ21</f>
        <v>116990.5</v>
      </c>
      <c r="AK22" s="22" t="n">
        <f aca="false">AK15-AK21</f>
        <v>120617.5</v>
      </c>
      <c r="AL22" s="22" t="n">
        <f aca="false">AL15-AL21</f>
        <v>124105</v>
      </c>
    </row>
    <row r="23" customFormat="false" ht="15" hidden="false" customHeight="false" outlineLevel="0" collapsed="false">
      <c r="B23" s="2" t="s">
        <v>59</v>
      </c>
      <c r="C23" s="24" t="n">
        <f aca="false">IF(C15=0,0,C22/C15)</f>
        <v>0.913333333333333</v>
      </c>
      <c r="D23" s="24" t="n">
        <f aca="false">IF(D15=0,0,D22/D15)</f>
        <v>0.921452991452991</v>
      </c>
      <c r="E23" s="24" t="n">
        <f aca="false">IF(E15=0,0,E22/E15)</f>
        <v>0.924152046783626</v>
      </c>
      <c r="F23" s="24" t="n">
        <f aca="false">IF(F15=0,0,F22/F15)</f>
        <v>0.925555555555556</v>
      </c>
      <c r="G23" s="24" t="n">
        <f aca="false">IF(G15=0,0,G22/G15)</f>
        <v>0.926376811594203</v>
      </c>
      <c r="H23" s="24" t="n">
        <f aca="false">IF(H15=0,0,H22/H15)</f>
        <v>0.926913580246914</v>
      </c>
      <c r="I23" s="24" t="n">
        <f aca="false">IF(I15=0,0,I22/I15)</f>
        <v>0.927311827956989</v>
      </c>
      <c r="J23" s="24" t="n">
        <f aca="false">IF(J15=0,0,J22/J15)</f>
        <v>0.927601918465228</v>
      </c>
      <c r="K23" s="24" t="n">
        <f aca="false">IF(K15=0,0,K22/K15)</f>
        <v>0.927821350762527</v>
      </c>
      <c r="L23" s="24" t="n">
        <f aca="false">IF(L15=0,0,L22/L15)</f>
        <v>0.928003992015968</v>
      </c>
      <c r="M23" s="24" t="n">
        <f aca="false">IF(M15=0,0,M22/M15)</f>
        <v>0.928148148148148</v>
      </c>
      <c r="N23" s="24" t="n">
        <f aca="false">IF(N15=0,0,N22/N15)</f>
        <v>0.928272884283247</v>
      </c>
      <c r="O23" s="24" t="n">
        <f aca="false">IF(O15=0,0,O22/O15)</f>
        <v>0.928518518518519</v>
      </c>
      <c r="P23" s="24" t="n">
        <f aca="false">IF(P15=0,0,P22/P15)</f>
        <v>0.928697916666667</v>
      </c>
      <c r="Q23" s="24" t="n">
        <f aca="false">IF(Q15=0,0,Q22/Q15)</f>
        <v>0.928834498834499</v>
      </c>
      <c r="R23" s="24" t="n">
        <f aca="false">IF(R15=0,0,R22/R15)</f>
        <v>0.928941798941799</v>
      </c>
      <c r="S23" s="24" t="n">
        <f aca="false">IF(S15=0,0,S22/S15)</f>
        <v>0.929025341130604</v>
      </c>
      <c r="T23" s="24" t="n">
        <f aca="false">IF(T15=0,0,T22/T15)</f>
        <v>0.929094202898551</v>
      </c>
      <c r="U23" s="24" t="n">
        <f aca="false">IF(U15=0,0,U22/U15)</f>
        <v>0.929151823579305</v>
      </c>
      <c r="V23" s="24" t="n">
        <f aca="false">IF(V15=0,0,V22/V15)</f>
        <v>0.929200639488409</v>
      </c>
      <c r="W23" s="24" t="n">
        <f aca="false">IF(W15=0,0,W22/W15)</f>
        <v>0.929242424242424</v>
      </c>
      <c r="X23" s="24" t="n">
        <f aca="false">IF(X15=0,0,X22/X15)</f>
        <v>0.929278499278499</v>
      </c>
      <c r="Y23" s="24" t="n">
        <f aca="false">IF(Y15=0,0,Y22/Y15)</f>
        <v>0.92931129476584</v>
      </c>
      <c r="Z23" s="24" t="n">
        <f aca="false">IF(Z15=0,0,Z22/Z15)</f>
        <v>0.929339933993399</v>
      </c>
      <c r="AA23" s="24" t="n">
        <f aca="false">IF(AA15=0,0,AA22/AA15)</f>
        <v>0.929388379204893</v>
      </c>
      <c r="AB23" s="24" t="n">
        <f aca="false">IF(AB15=0,0,AB22/AB15)</f>
        <v>0.929428244711264</v>
      </c>
      <c r="AC23" s="24" t="n">
        <f aca="false">IF(AC15=0,0,AC22/AC15)</f>
        <v>0.929462365591398</v>
      </c>
      <c r="AD23" s="24" t="n">
        <f aca="false">IF(AD15=0,0,AD22/AD15)</f>
        <v>0.929491094147583</v>
      </c>
      <c r="AE23" s="24" t="n">
        <f aca="false">IF(AE15=0,0,AE22/AE15)</f>
        <v>0.929516207063377</v>
      </c>
      <c r="AF23" s="24" t="n">
        <f aca="false">IF(AF15=0,0,AF22/AF15)</f>
        <v>0.92953767914933</v>
      </c>
      <c r="AG23" s="24" t="n">
        <f aca="false">IF(AG15=0,0,AG22/AG15)</f>
        <v>0.929556737588653</v>
      </c>
      <c r="AH23" s="24" t="n">
        <f aca="false">IF(AH15=0,0,AH22/AH15)</f>
        <v>0.929573742540494</v>
      </c>
      <c r="AI23" s="24" t="n">
        <f aca="false">IF(AI15=0,0,AI22/AI15)</f>
        <v>0.929588984792437</v>
      </c>
      <c r="AJ23" s="24" t="n">
        <f aca="false">IF(AJ15=0,0,AJ22/AJ15)</f>
        <v>0.929602701628923</v>
      </c>
      <c r="AK23" s="24" t="n">
        <f aca="false">IF(AK15=0,0,AK22/AK15)</f>
        <v>0.929614643545279</v>
      </c>
      <c r="AL23" s="24" t="n">
        <f aca="false">IF(AL15=0,0,AL22/AL15)</f>
        <v>0.929625468164794</v>
      </c>
    </row>
    <row r="25" customFormat="false" ht="15" hidden="false" customHeight="false" outlineLevel="0" collapsed="false">
      <c r="B25" s="16" t="s">
        <v>60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customFormat="false" ht="15" hidden="false" customHeight="false" outlineLevel="0" collapsed="false">
      <c r="B26" s="4" t="s">
        <v>61</v>
      </c>
      <c r="C26" s="21" t="n">
        <f aca="false">C9*Assumptions!$C$22</f>
        <v>600</v>
      </c>
      <c r="D26" s="21" t="n">
        <f aca="false">D9*Assumptions!$C$22</f>
        <v>600</v>
      </c>
      <c r="E26" s="21" t="n">
        <f aca="false">E9*Assumptions!$C$22</f>
        <v>600</v>
      </c>
      <c r="F26" s="21" t="n">
        <f aca="false">F9*Assumptions!$C$22</f>
        <v>600</v>
      </c>
      <c r="G26" s="21" t="n">
        <f aca="false">G9*Assumptions!$C$22</f>
        <v>600</v>
      </c>
      <c r="H26" s="21" t="n">
        <f aca="false">H9*Assumptions!$C$22</f>
        <v>600</v>
      </c>
      <c r="I26" s="21" t="n">
        <f aca="false">I9*Assumptions!$C$22</f>
        <v>600</v>
      </c>
      <c r="J26" s="21" t="n">
        <f aca="false">J9*Assumptions!$C$22</f>
        <v>600</v>
      </c>
      <c r="K26" s="21" t="n">
        <f aca="false">K9*Assumptions!$C$22</f>
        <v>600</v>
      </c>
      <c r="L26" s="21" t="n">
        <f aca="false">L9*Assumptions!$C$22</f>
        <v>600</v>
      </c>
      <c r="M26" s="21" t="n">
        <f aca="false">M9*Assumptions!$C$22</f>
        <v>600</v>
      </c>
      <c r="N26" s="21" t="n">
        <f aca="false">N9*Assumptions!$C$22</f>
        <v>600</v>
      </c>
      <c r="O26" s="21" t="n">
        <f aca="false">O9*Assumptions!$C$22</f>
        <v>1200</v>
      </c>
      <c r="P26" s="21" t="n">
        <f aca="false">P9*Assumptions!$C$22</f>
        <v>1200</v>
      </c>
      <c r="Q26" s="21" t="n">
        <f aca="false">Q9*Assumptions!$C$22</f>
        <v>1200</v>
      </c>
      <c r="R26" s="21" t="n">
        <f aca="false">R9*Assumptions!$C$22</f>
        <v>1200</v>
      </c>
      <c r="S26" s="21" t="n">
        <f aca="false">S9*Assumptions!$C$22</f>
        <v>1200</v>
      </c>
      <c r="T26" s="21" t="n">
        <f aca="false">T9*Assumptions!$C$22</f>
        <v>1200</v>
      </c>
      <c r="U26" s="21" t="n">
        <f aca="false">U9*Assumptions!$C$22</f>
        <v>1200</v>
      </c>
      <c r="V26" s="21" t="n">
        <f aca="false">V9*Assumptions!$C$22</f>
        <v>1200</v>
      </c>
      <c r="W26" s="21" t="n">
        <f aca="false">W9*Assumptions!$C$22</f>
        <v>1200</v>
      </c>
      <c r="X26" s="21" t="n">
        <f aca="false">X9*Assumptions!$C$22</f>
        <v>1200</v>
      </c>
      <c r="Y26" s="21" t="n">
        <f aca="false">Y9*Assumptions!$C$22</f>
        <v>1200</v>
      </c>
      <c r="Z26" s="21" t="n">
        <f aca="false">Z9*Assumptions!$C$22</f>
        <v>1200</v>
      </c>
      <c r="AA26" s="21" t="n">
        <f aca="false">AA9*Assumptions!$C$22</f>
        <v>1800</v>
      </c>
      <c r="AB26" s="21" t="n">
        <f aca="false">AB9*Assumptions!$C$22</f>
        <v>1800</v>
      </c>
      <c r="AC26" s="21" t="n">
        <f aca="false">AC9*Assumptions!$C$22</f>
        <v>1800</v>
      </c>
      <c r="AD26" s="21" t="n">
        <f aca="false">AD9*Assumptions!$C$22</f>
        <v>1800</v>
      </c>
      <c r="AE26" s="21" t="n">
        <f aca="false">AE9*Assumptions!$C$22</f>
        <v>1800</v>
      </c>
      <c r="AF26" s="21" t="n">
        <f aca="false">AF9*Assumptions!$C$22</f>
        <v>1800</v>
      </c>
      <c r="AG26" s="21" t="n">
        <f aca="false">AG9*Assumptions!$C$22</f>
        <v>1800</v>
      </c>
      <c r="AH26" s="21" t="n">
        <f aca="false">AH9*Assumptions!$C$22</f>
        <v>1800</v>
      </c>
      <c r="AI26" s="21" t="n">
        <f aca="false">AI9*Assumptions!$C$22</f>
        <v>1800</v>
      </c>
      <c r="AJ26" s="21" t="n">
        <f aca="false">AJ9*Assumptions!$C$22</f>
        <v>1800</v>
      </c>
      <c r="AK26" s="21" t="n">
        <f aca="false">AK9*Assumptions!$C$22</f>
        <v>1800</v>
      </c>
      <c r="AL26" s="21" t="n">
        <f aca="false">AL9*Assumptions!$C$22</f>
        <v>1800</v>
      </c>
    </row>
    <row r="27" customFormat="false" ht="15" hidden="false" customHeight="false" outlineLevel="0" collapsed="false">
      <c r="B27" s="4" t="s">
        <v>62</v>
      </c>
      <c r="C27" s="23" t="n">
        <f aca="false">Assumptions!$C$24</f>
        <v>8000</v>
      </c>
      <c r="D27" s="23" t="n">
        <f aca="false">Assumptions!$C$24</f>
        <v>8000</v>
      </c>
      <c r="E27" s="23" t="n">
        <f aca="false">Assumptions!$C$24</f>
        <v>8000</v>
      </c>
      <c r="F27" s="23" t="n">
        <f aca="false">Assumptions!$C$24</f>
        <v>8000</v>
      </c>
      <c r="G27" s="23" t="n">
        <f aca="false">Assumptions!$C$24</f>
        <v>8000</v>
      </c>
      <c r="H27" s="23" t="n">
        <f aca="false">Assumptions!$C$24</f>
        <v>8000</v>
      </c>
      <c r="I27" s="23" t="n">
        <f aca="false">Assumptions!$C$24</f>
        <v>8000</v>
      </c>
      <c r="J27" s="23" t="n">
        <f aca="false">Assumptions!$C$24</f>
        <v>8000</v>
      </c>
      <c r="K27" s="23" t="n">
        <f aca="false">Assumptions!$C$24</f>
        <v>8000</v>
      </c>
      <c r="L27" s="23" t="n">
        <f aca="false">Assumptions!$C$24</f>
        <v>8000</v>
      </c>
      <c r="M27" s="23" t="n">
        <f aca="false">Assumptions!$C$24</f>
        <v>8000</v>
      </c>
      <c r="N27" s="23" t="n">
        <f aca="false">Assumptions!$C$24</f>
        <v>8000</v>
      </c>
      <c r="O27" s="23" t="n">
        <f aca="false">Assumptions!$C$24</f>
        <v>8000</v>
      </c>
      <c r="P27" s="23" t="n">
        <f aca="false">Assumptions!$C$24</f>
        <v>8000</v>
      </c>
      <c r="Q27" s="23" t="n">
        <f aca="false">Assumptions!$C$24</f>
        <v>8000</v>
      </c>
      <c r="R27" s="23" t="n">
        <f aca="false">Assumptions!$C$24</f>
        <v>8000</v>
      </c>
      <c r="S27" s="23" t="n">
        <f aca="false">Assumptions!$C$24</f>
        <v>8000</v>
      </c>
      <c r="T27" s="23" t="n">
        <f aca="false">Assumptions!$C$24</f>
        <v>8000</v>
      </c>
      <c r="U27" s="23" t="n">
        <f aca="false">Assumptions!$C$24</f>
        <v>8000</v>
      </c>
      <c r="V27" s="23" t="n">
        <f aca="false">Assumptions!$C$24</f>
        <v>8000</v>
      </c>
      <c r="W27" s="23" t="n">
        <f aca="false">Assumptions!$C$24</f>
        <v>8000</v>
      </c>
      <c r="X27" s="23" t="n">
        <f aca="false">Assumptions!$C$24</f>
        <v>8000</v>
      </c>
      <c r="Y27" s="23" t="n">
        <f aca="false">Assumptions!$C$24</f>
        <v>8000</v>
      </c>
      <c r="Z27" s="23" t="n">
        <f aca="false">Assumptions!$C$24</f>
        <v>8000</v>
      </c>
      <c r="AA27" s="23" t="n">
        <f aca="false">Assumptions!$C$24</f>
        <v>8000</v>
      </c>
      <c r="AB27" s="23" t="n">
        <f aca="false">Assumptions!$C$24</f>
        <v>8000</v>
      </c>
      <c r="AC27" s="23" t="n">
        <f aca="false">Assumptions!$C$24</f>
        <v>8000</v>
      </c>
      <c r="AD27" s="23" t="n">
        <f aca="false">Assumptions!$C$24</f>
        <v>8000</v>
      </c>
      <c r="AE27" s="23" t="n">
        <f aca="false">Assumptions!$C$24</f>
        <v>8000</v>
      </c>
      <c r="AF27" s="23" t="n">
        <f aca="false">Assumptions!$C$24</f>
        <v>8000</v>
      </c>
      <c r="AG27" s="23" t="n">
        <f aca="false">Assumptions!$C$24</f>
        <v>8000</v>
      </c>
      <c r="AH27" s="23" t="n">
        <f aca="false">Assumptions!$C$24</f>
        <v>8000</v>
      </c>
      <c r="AI27" s="23" t="n">
        <f aca="false">Assumptions!$C$24</f>
        <v>8000</v>
      </c>
      <c r="AJ27" s="23" t="n">
        <f aca="false">Assumptions!$C$24</f>
        <v>8000</v>
      </c>
      <c r="AK27" s="23" t="n">
        <f aca="false">Assumptions!$C$24</f>
        <v>8000</v>
      </c>
      <c r="AL27" s="23" t="n">
        <f aca="false">Assumptions!$C$24</f>
        <v>8000</v>
      </c>
    </row>
    <row r="28" customFormat="false" ht="15" hidden="false" customHeight="false" outlineLevel="0" collapsed="false">
      <c r="B28" s="4" t="s">
        <v>63</v>
      </c>
      <c r="C28" s="23" t="n">
        <f aca="false">Assumptions!$C$23</f>
        <v>500</v>
      </c>
      <c r="D28" s="23" t="n">
        <f aca="false">Assumptions!$C$23</f>
        <v>500</v>
      </c>
      <c r="E28" s="23" t="n">
        <f aca="false">Assumptions!$C$23</f>
        <v>500</v>
      </c>
      <c r="F28" s="23" t="n">
        <f aca="false">Assumptions!$C$23</f>
        <v>500</v>
      </c>
      <c r="G28" s="23" t="n">
        <f aca="false">Assumptions!$C$23</f>
        <v>500</v>
      </c>
      <c r="H28" s="23" t="n">
        <f aca="false">Assumptions!$C$23</f>
        <v>500</v>
      </c>
      <c r="I28" s="23" t="n">
        <f aca="false">Assumptions!$C$23</f>
        <v>500</v>
      </c>
      <c r="J28" s="23" t="n">
        <f aca="false">Assumptions!$C$23</f>
        <v>500</v>
      </c>
      <c r="K28" s="23" t="n">
        <f aca="false">Assumptions!$C$23</f>
        <v>500</v>
      </c>
      <c r="L28" s="23" t="n">
        <f aca="false">Assumptions!$C$23</f>
        <v>500</v>
      </c>
      <c r="M28" s="23" t="n">
        <f aca="false">Assumptions!$C$23</f>
        <v>500</v>
      </c>
      <c r="N28" s="23" t="n">
        <f aca="false">Assumptions!$C$23</f>
        <v>500</v>
      </c>
      <c r="O28" s="23" t="n">
        <f aca="false">Assumptions!$C$23</f>
        <v>500</v>
      </c>
      <c r="P28" s="23" t="n">
        <f aca="false">Assumptions!$C$23</f>
        <v>500</v>
      </c>
      <c r="Q28" s="23" t="n">
        <f aca="false">Assumptions!$C$23</f>
        <v>500</v>
      </c>
      <c r="R28" s="23" t="n">
        <f aca="false">Assumptions!$C$23</f>
        <v>500</v>
      </c>
      <c r="S28" s="23" t="n">
        <f aca="false">Assumptions!$C$23</f>
        <v>500</v>
      </c>
      <c r="T28" s="23" t="n">
        <f aca="false">Assumptions!$C$23</f>
        <v>500</v>
      </c>
      <c r="U28" s="23" t="n">
        <f aca="false">Assumptions!$C$23</f>
        <v>500</v>
      </c>
      <c r="V28" s="23" t="n">
        <f aca="false">Assumptions!$C$23</f>
        <v>500</v>
      </c>
      <c r="W28" s="23" t="n">
        <f aca="false">Assumptions!$C$23</f>
        <v>500</v>
      </c>
      <c r="X28" s="23" t="n">
        <f aca="false">Assumptions!$C$23</f>
        <v>500</v>
      </c>
      <c r="Y28" s="23" t="n">
        <f aca="false">Assumptions!$C$23</f>
        <v>500</v>
      </c>
      <c r="Z28" s="23" t="n">
        <f aca="false">Assumptions!$C$23</f>
        <v>500</v>
      </c>
      <c r="AA28" s="23" t="n">
        <f aca="false">Assumptions!$C$23</f>
        <v>500</v>
      </c>
      <c r="AB28" s="23" t="n">
        <f aca="false">Assumptions!$C$23</f>
        <v>500</v>
      </c>
      <c r="AC28" s="23" t="n">
        <f aca="false">Assumptions!$C$23</f>
        <v>500</v>
      </c>
      <c r="AD28" s="23" t="n">
        <f aca="false">Assumptions!$C$23</f>
        <v>500</v>
      </c>
      <c r="AE28" s="23" t="n">
        <f aca="false">Assumptions!$C$23</f>
        <v>500</v>
      </c>
      <c r="AF28" s="23" t="n">
        <f aca="false">Assumptions!$C$23</f>
        <v>500</v>
      </c>
      <c r="AG28" s="23" t="n">
        <f aca="false">Assumptions!$C$23</f>
        <v>500</v>
      </c>
      <c r="AH28" s="23" t="n">
        <f aca="false">Assumptions!$C$23</f>
        <v>500</v>
      </c>
      <c r="AI28" s="23" t="n">
        <f aca="false">Assumptions!$C$23</f>
        <v>500</v>
      </c>
      <c r="AJ28" s="23" t="n">
        <f aca="false">Assumptions!$C$23</f>
        <v>500</v>
      </c>
      <c r="AK28" s="23" t="n">
        <f aca="false">Assumptions!$C$23</f>
        <v>500</v>
      </c>
      <c r="AL28" s="23" t="n">
        <f aca="false">Assumptions!$C$23</f>
        <v>500</v>
      </c>
    </row>
    <row r="29" customFormat="false" ht="15" hidden="false" customHeight="false" outlineLevel="0" collapsed="false">
      <c r="B29" s="13" t="s">
        <v>64</v>
      </c>
      <c r="C29" s="22" t="n">
        <f aca="false">SUM(C26:C28)</f>
        <v>9100</v>
      </c>
      <c r="D29" s="22" t="n">
        <f aca="false">SUM(D26:D28)</f>
        <v>9100</v>
      </c>
      <c r="E29" s="22" t="n">
        <f aca="false">SUM(E26:E28)</f>
        <v>9100</v>
      </c>
      <c r="F29" s="22" t="n">
        <f aca="false">SUM(F26:F28)</f>
        <v>9100</v>
      </c>
      <c r="G29" s="22" t="n">
        <f aca="false">SUM(G26:G28)</f>
        <v>9100</v>
      </c>
      <c r="H29" s="22" t="n">
        <f aca="false">SUM(H26:H28)</f>
        <v>9100</v>
      </c>
      <c r="I29" s="22" t="n">
        <f aca="false">SUM(I26:I28)</f>
        <v>9100</v>
      </c>
      <c r="J29" s="22" t="n">
        <f aca="false">SUM(J26:J28)</f>
        <v>9100</v>
      </c>
      <c r="K29" s="22" t="n">
        <f aca="false">SUM(K26:K28)</f>
        <v>9100</v>
      </c>
      <c r="L29" s="22" t="n">
        <f aca="false">SUM(L26:L28)</f>
        <v>9100</v>
      </c>
      <c r="M29" s="22" t="n">
        <f aca="false">SUM(M26:M28)</f>
        <v>9100</v>
      </c>
      <c r="N29" s="22" t="n">
        <f aca="false">SUM(N26:N28)</f>
        <v>9100</v>
      </c>
      <c r="O29" s="22" t="n">
        <f aca="false">SUM(O26:O28)</f>
        <v>9700</v>
      </c>
      <c r="P29" s="22" t="n">
        <f aca="false">SUM(P26:P28)</f>
        <v>9700</v>
      </c>
      <c r="Q29" s="22" t="n">
        <f aca="false">SUM(Q26:Q28)</f>
        <v>9700</v>
      </c>
      <c r="R29" s="22" t="n">
        <f aca="false">SUM(R26:R28)</f>
        <v>9700</v>
      </c>
      <c r="S29" s="22" t="n">
        <f aca="false">SUM(S26:S28)</f>
        <v>9700</v>
      </c>
      <c r="T29" s="22" t="n">
        <f aca="false">SUM(T26:T28)</f>
        <v>9700</v>
      </c>
      <c r="U29" s="22" t="n">
        <f aca="false">SUM(U26:U28)</f>
        <v>9700</v>
      </c>
      <c r="V29" s="22" t="n">
        <f aca="false">SUM(V26:V28)</f>
        <v>9700</v>
      </c>
      <c r="W29" s="22" t="n">
        <f aca="false">SUM(W26:W28)</f>
        <v>9700</v>
      </c>
      <c r="X29" s="22" t="n">
        <f aca="false">SUM(X26:X28)</f>
        <v>9700</v>
      </c>
      <c r="Y29" s="22" t="n">
        <f aca="false">SUM(Y26:Y28)</f>
        <v>9700</v>
      </c>
      <c r="Z29" s="22" t="n">
        <f aca="false">SUM(Z26:Z28)</f>
        <v>9700</v>
      </c>
      <c r="AA29" s="22" t="n">
        <f aca="false">SUM(AA26:AA28)</f>
        <v>10300</v>
      </c>
      <c r="AB29" s="22" t="n">
        <f aca="false">SUM(AB26:AB28)</f>
        <v>10300</v>
      </c>
      <c r="AC29" s="22" t="n">
        <f aca="false">SUM(AC26:AC28)</f>
        <v>10300</v>
      </c>
      <c r="AD29" s="22" t="n">
        <f aca="false">SUM(AD26:AD28)</f>
        <v>10300</v>
      </c>
      <c r="AE29" s="22" t="n">
        <f aca="false">SUM(AE26:AE28)</f>
        <v>10300</v>
      </c>
      <c r="AF29" s="22" t="n">
        <f aca="false">SUM(AF26:AF28)</f>
        <v>10300</v>
      </c>
      <c r="AG29" s="22" t="n">
        <f aca="false">SUM(AG26:AG28)</f>
        <v>10300</v>
      </c>
      <c r="AH29" s="22" t="n">
        <f aca="false">SUM(AH26:AH28)</f>
        <v>10300</v>
      </c>
      <c r="AI29" s="22" t="n">
        <f aca="false">SUM(AI26:AI28)</f>
        <v>10300</v>
      </c>
      <c r="AJ29" s="22" t="n">
        <f aca="false">SUM(AJ26:AJ28)</f>
        <v>10300</v>
      </c>
      <c r="AK29" s="22" t="n">
        <f aca="false">SUM(AK26:AK28)</f>
        <v>10300</v>
      </c>
      <c r="AL29" s="22" t="n">
        <f aca="false">SUM(AL26:AL28)</f>
        <v>10300</v>
      </c>
    </row>
    <row r="31" customFormat="false" ht="15" hidden="false" customHeight="false" outlineLevel="0" collapsed="false">
      <c r="B31" s="16" t="s">
        <v>65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customFormat="false" ht="15" hidden="false" customHeight="false" outlineLevel="0" collapsed="false">
      <c r="B32" s="13" t="s">
        <v>66</v>
      </c>
      <c r="C32" s="22" t="n">
        <f aca="false">C22-C29</f>
        <v>-6360</v>
      </c>
      <c r="D32" s="22" t="n">
        <f aca="false">D22-D29</f>
        <v>-3709.5</v>
      </c>
      <c r="E32" s="22" t="n">
        <f aca="false">E22-E29</f>
        <v>-1198.5</v>
      </c>
      <c r="F32" s="22" t="n">
        <f aca="false">F22-F29</f>
        <v>1312.5</v>
      </c>
      <c r="G32" s="22" t="n">
        <f aca="false">G22-G29</f>
        <v>3684</v>
      </c>
      <c r="H32" s="22" t="n">
        <f aca="false">H22-H29</f>
        <v>5916</v>
      </c>
      <c r="I32" s="22" t="n">
        <f aca="false">I22-I29</f>
        <v>8148</v>
      </c>
      <c r="J32" s="22" t="n">
        <f aca="false">J22-J29</f>
        <v>10240.5</v>
      </c>
      <c r="K32" s="22" t="n">
        <f aca="false">K22-K29</f>
        <v>12193.5</v>
      </c>
      <c r="L32" s="22" t="n">
        <f aca="false">L22-L29</f>
        <v>14146.5</v>
      </c>
      <c r="M32" s="22" t="n">
        <f aca="false">M22-M29</f>
        <v>15960</v>
      </c>
      <c r="N32" s="22" t="n">
        <f aca="false">N22-N29</f>
        <v>17773.5</v>
      </c>
      <c r="O32" s="22" t="n">
        <f aca="false">O22-O29</f>
        <v>21637.5</v>
      </c>
      <c r="P32" s="22" t="n">
        <f aca="false">P22-P29</f>
        <v>25962</v>
      </c>
      <c r="Q32" s="22" t="n">
        <f aca="false">Q22-Q29</f>
        <v>30147</v>
      </c>
      <c r="R32" s="22" t="n">
        <f aca="false">R22-R29</f>
        <v>34192.5</v>
      </c>
      <c r="S32" s="22" t="n">
        <f aca="false">S22-S29</f>
        <v>37959</v>
      </c>
      <c r="T32" s="22" t="n">
        <f aca="false">T22-T29</f>
        <v>41586</v>
      </c>
      <c r="U32" s="22" t="n">
        <f aca="false">U22-U29</f>
        <v>45073.5</v>
      </c>
      <c r="V32" s="22" t="n">
        <f aca="false">V22-V29</f>
        <v>48421.5</v>
      </c>
      <c r="W32" s="22" t="n">
        <f aca="false">W22-W29</f>
        <v>51630</v>
      </c>
      <c r="X32" s="22" t="n">
        <f aca="false">X22-X29</f>
        <v>54699</v>
      </c>
      <c r="Y32" s="22" t="n">
        <f aca="false">Y22-Y29</f>
        <v>57768</v>
      </c>
      <c r="Z32" s="22" t="n">
        <f aca="false">Z22-Z29</f>
        <v>60697.5</v>
      </c>
      <c r="AA32" s="22" t="n">
        <f aca="false">AA22-AA29</f>
        <v>65677.5</v>
      </c>
      <c r="AB32" s="22" t="n">
        <f aca="false">AB22-AB29</f>
        <v>70978.5</v>
      </c>
      <c r="AC32" s="22" t="n">
        <f aca="false">AC22-AC29</f>
        <v>76140</v>
      </c>
      <c r="AD32" s="22" t="n">
        <f aca="false">AD22-AD29</f>
        <v>81022.5</v>
      </c>
      <c r="AE32" s="22" t="n">
        <f aca="false">AE22-AE29</f>
        <v>85765.5</v>
      </c>
      <c r="AF32" s="22" t="n">
        <f aca="false">AF22-AF29</f>
        <v>90229.5</v>
      </c>
      <c r="AG32" s="22" t="n">
        <f aca="false">AG22-AG29</f>
        <v>94554</v>
      </c>
      <c r="AH32" s="22" t="n">
        <f aca="false">AH22-AH29</f>
        <v>98739</v>
      </c>
      <c r="AI32" s="22" t="n">
        <f aca="false">AI22-AI29</f>
        <v>102784.5</v>
      </c>
      <c r="AJ32" s="22" t="n">
        <f aca="false">AJ22-AJ29</f>
        <v>106690.5</v>
      </c>
      <c r="AK32" s="22" t="n">
        <f aca="false">AK22-AK29</f>
        <v>110317.5</v>
      </c>
      <c r="AL32" s="22" t="n">
        <f aca="false">AL22-AL29</f>
        <v>113805</v>
      </c>
    </row>
    <row r="33" customFormat="false" ht="15" hidden="false" customHeight="false" outlineLevel="0" collapsed="false">
      <c r="B33" s="2" t="s">
        <v>67</v>
      </c>
      <c r="C33" s="24" t="n">
        <f aca="false">IF(C15=0,0,C32/C15)</f>
        <v>-2.12</v>
      </c>
      <c r="D33" s="24" t="n">
        <f aca="false">IF(D15=0,0,D32/D15)</f>
        <v>-0.634102564102564</v>
      </c>
      <c r="E33" s="24" t="n">
        <f aca="false">IF(E15=0,0,E32/E15)</f>
        <v>-0.140175438596491</v>
      </c>
      <c r="F33" s="24" t="n">
        <f aca="false">IF(F15=0,0,F32/F15)</f>
        <v>0.116666666666667</v>
      </c>
      <c r="G33" s="24" t="n">
        <f aca="false">IF(G15=0,0,G32/G15)</f>
        <v>0.26695652173913</v>
      </c>
      <c r="H33" s="24" t="n">
        <f aca="false">IF(H15=0,0,H32/H15)</f>
        <v>0.365185185185185</v>
      </c>
      <c r="I33" s="24" t="n">
        <f aca="false">IF(I15=0,0,I32/I15)</f>
        <v>0.438064516129032</v>
      </c>
      <c r="J33" s="24" t="n">
        <f aca="false">IF(J15=0,0,J32/J15)</f>
        <v>0.491151079136691</v>
      </c>
      <c r="K33" s="24" t="n">
        <f aca="false">IF(K15=0,0,K32/K15)</f>
        <v>0.531307189542484</v>
      </c>
      <c r="L33" s="24" t="n">
        <f aca="false">IF(L15=0,0,L32/L15)</f>
        <v>0.564730538922156</v>
      </c>
      <c r="M33" s="24" t="n">
        <f aca="false">IF(M15=0,0,M32/M15)</f>
        <v>0.591111111111111</v>
      </c>
      <c r="N33" s="24" t="n">
        <f aca="false">IF(N15=0,0,N32/N15)</f>
        <v>0.613937823834197</v>
      </c>
      <c r="O33" s="24" t="n">
        <f aca="false">IF(O15=0,0,O32/O15)</f>
        <v>0.641111111111111</v>
      </c>
      <c r="P33" s="24" t="n">
        <f aca="false">IF(P15=0,0,P32/P15)</f>
        <v>0.67609375</v>
      </c>
      <c r="Q33" s="24" t="n">
        <f aca="false">IF(Q15=0,0,Q32/Q15)</f>
        <v>0.702727272727273</v>
      </c>
      <c r="R33" s="24" t="n">
        <f aca="false">IF(R15=0,0,R32/R15)</f>
        <v>0.723650793650794</v>
      </c>
      <c r="S33" s="24" t="n">
        <f aca="false">IF(S15=0,0,S32/S15)</f>
        <v>0.739941520467836</v>
      </c>
      <c r="T33" s="24" t="n">
        <f aca="false">IF(T15=0,0,T32/T15)</f>
        <v>0.753369565217391</v>
      </c>
      <c r="U33" s="24" t="n">
        <f aca="false">IF(U15=0,0,U32/U15)</f>
        <v>0.764605597964377</v>
      </c>
      <c r="V33" s="24" t="n">
        <f aca="false">IF(V15=0,0,V32/V15)</f>
        <v>0.774124700239808</v>
      </c>
      <c r="W33" s="24" t="n">
        <f aca="false">IF(W15=0,0,W32/W15)</f>
        <v>0.782272727272727</v>
      </c>
      <c r="X33" s="24" t="n">
        <f aca="false">IF(X15=0,0,X32/X15)</f>
        <v>0.789307359307359</v>
      </c>
      <c r="Y33" s="24" t="n">
        <f aca="false">IF(Y15=0,0,Y32/Y15)</f>
        <v>0.795702479338843</v>
      </c>
      <c r="Z33" s="24" t="n">
        <f aca="false">IF(Z15=0,0,Z32/Z15)</f>
        <v>0.801287128712871</v>
      </c>
      <c r="AA33" s="24" t="n">
        <f aca="false">IF(AA15=0,0,AA32/AA15)</f>
        <v>0.803394495412844</v>
      </c>
      <c r="AB33" s="24" t="n">
        <f aca="false">IF(AB15=0,0,AB32/AB15)</f>
        <v>0.811646655231561</v>
      </c>
      <c r="AC33" s="24" t="n">
        <f aca="false">IF(AC15=0,0,AC32/AC15)</f>
        <v>0.818709677419355</v>
      </c>
      <c r="AD33" s="24" t="n">
        <f aca="false">IF(AD15=0,0,AD32/AD15)</f>
        <v>0.824656488549618</v>
      </c>
      <c r="AE33" s="24" t="n">
        <f aca="false">IF(AE15=0,0,AE32/AE15)</f>
        <v>0.829854862119013</v>
      </c>
      <c r="AF33" s="24" t="n">
        <f aca="false">IF(AF15=0,0,AF32/AF15)</f>
        <v>0.834299583911234</v>
      </c>
      <c r="AG33" s="24" t="n">
        <f aca="false">IF(AG15=0,0,AG32/AG15)</f>
        <v>0.838244680851064</v>
      </c>
      <c r="AH33" s="24" t="n">
        <f aca="false">IF(AH15=0,0,AH32/AH15)</f>
        <v>0.841764705882353</v>
      </c>
      <c r="AI33" s="24" t="n">
        <f aca="false">IF(AI15=0,0,AI32/AI15)</f>
        <v>0.844919852034525</v>
      </c>
      <c r="AJ33" s="24" t="n">
        <f aca="false">IF(AJ15=0,0,AJ32/AJ15)</f>
        <v>0.847759237187128</v>
      </c>
      <c r="AK33" s="24" t="n">
        <f aca="false">IF(AK15=0,0,AK32/AK15)</f>
        <v>0.850231213872832</v>
      </c>
      <c r="AL33" s="24" t="n">
        <f aca="false">IF(AL15=0,0,AL32/AL15)</f>
        <v>0.85247191011236</v>
      </c>
    </row>
    <row r="34" customFormat="false" ht="15" hidden="false" customHeight="false" outlineLevel="0" collapsed="false">
      <c r="B34" s="4" t="s">
        <v>68</v>
      </c>
      <c r="C34" s="23" t="n">
        <f aca="false">Assumptions!$C$25</f>
        <v>5000</v>
      </c>
      <c r="D34" s="21" t="n">
        <f aca="false">C35</f>
        <v>-1360</v>
      </c>
      <c r="E34" s="21" t="n">
        <f aca="false">D35</f>
        <v>-5069.5</v>
      </c>
      <c r="F34" s="21" t="n">
        <f aca="false">E35</f>
        <v>-6268</v>
      </c>
      <c r="G34" s="21" t="n">
        <f aca="false">F35</f>
        <v>-4955.5</v>
      </c>
      <c r="H34" s="21" t="n">
        <f aca="false">G35</f>
        <v>-1271.5</v>
      </c>
      <c r="I34" s="21" t="n">
        <f aca="false">H35</f>
        <v>4644.5</v>
      </c>
      <c r="J34" s="21" t="n">
        <f aca="false">I35</f>
        <v>12792.5</v>
      </c>
      <c r="K34" s="21" t="n">
        <f aca="false">J35</f>
        <v>23033</v>
      </c>
      <c r="L34" s="21" t="n">
        <f aca="false">K35</f>
        <v>35226.5</v>
      </c>
      <c r="M34" s="21" t="n">
        <f aca="false">L35</f>
        <v>49373</v>
      </c>
      <c r="N34" s="21" t="n">
        <f aca="false">M35</f>
        <v>65333</v>
      </c>
      <c r="O34" s="21" t="n">
        <f aca="false">N35</f>
        <v>83106.5</v>
      </c>
      <c r="P34" s="21" t="n">
        <f aca="false">O35</f>
        <v>104744</v>
      </c>
      <c r="Q34" s="21" t="n">
        <f aca="false">P35</f>
        <v>130706</v>
      </c>
      <c r="R34" s="21" t="n">
        <f aca="false">Q35</f>
        <v>160853</v>
      </c>
      <c r="S34" s="21" t="n">
        <f aca="false">R35</f>
        <v>195045.5</v>
      </c>
      <c r="T34" s="21" t="n">
        <f aca="false">S35</f>
        <v>233004.5</v>
      </c>
      <c r="U34" s="21" t="n">
        <f aca="false">T35</f>
        <v>274590.5</v>
      </c>
      <c r="V34" s="21" t="n">
        <f aca="false">U35</f>
        <v>319664</v>
      </c>
      <c r="W34" s="21" t="n">
        <f aca="false">V35</f>
        <v>368085.5</v>
      </c>
      <c r="X34" s="21" t="n">
        <f aca="false">W35</f>
        <v>419715.5</v>
      </c>
      <c r="Y34" s="21" t="n">
        <f aca="false">X35</f>
        <v>474414.5</v>
      </c>
      <c r="Z34" s="21" t="n">
        <f aca="false">Y35</f>
        <v>532182.5</v>
      </c>
      <c r="AA34" s="21" t="n">
        <f aca="false">Z35</f>
        <v>592880</v>
      </c>
      <c r="AB34" s="21" t="n">
        <f aca="false">AA35</f>
        <v>658557.5</v>
      </c>
      <c r="AC34" s="21" t="n">
        <f aca="false">AB35</f>
        <v>729536</v>
      </c>
      <c r="AD34" s="21" t="n">
        <f aca="false">AC35</f>
        <v>805676</v>
      </c>
      <c r="AE34" s="21" t="n">
        <f aca="false">AD35</f>
        <v>886698.5</v>
      </c>
      <c r="AF34" s="21" t="n">
        <f aca="false">AE35</f>
        <v>972464</v>
      </c>
      <c r="AG34" s="21" t="n">
        <f aca="false">AF35</f>
        <v>1062693.5</v>
      </c>
      <c r="AH34" s="21" t="n">
        <f aca="false">AG35</f>
        <v>1157247.5</v>
      </c>
      <c r="AI34" s="21" t="n">
        <f aca="false">AH35</f>
        <v>1255986.5</v>
      </c>
      <c r="AJ34" s="21" t="n">
        <f aca="false">AI35</f>
        <v>1358771</v>
      </c>
      <c r="AK34" s="21" t="n">
        <f aca="false">AJ35</f>
        <v>1465461.5</v>
      </c>
      <c r="AL34" s="21" t="n">
        <f aca="false">AK35</f>
        <v>1575779</v>
      </c>
    </row>
    <row r="35" customFormat="false" ht="15" hidden="false" customHeight="false" outlineLevel="0" collapsed="false">
      <c r="B35" s="13" t="s">
        <v>69</v>
      </c>
      <c r="C35" s="22" t="n">
        <f aca="false">C34+C32</f>
        <v>-1360</v>
      </c>
      <c r="D35" s="22" t="n">
        <f aca="false">D34+D32</f>
        <v>-5069.5</v>
      </c>
      <c r="E35" s="22" t="n">
        <f aca="false">E34+E32</f>
        <v>-6268</v>
      </c>
      <c r="F35" s="22" t="n">
        <f aca="false">F34+F32</f>
        <v>-4955.5</v>
      </c>
      <c r="G35" s="22" t="n">
        <f aca="false">G34+G32</f>
        <v>-1271.5</v>
      </c>
      <c r="H35" s="22" t="n">
        <f aca="false">H34+H32</f>
        <v>4644.5</v>
      </c>
      <c r="I35" s="22" t="n">
        <f aca="false">I34+I32</f>
        <v>12792.5</v>
      </c>
      <c r="J35" s="22" t="n">
        <f aca="false">J34+J32</f>
        <v>23033</v>
      </c>
      <c r="K35" s="22" t="n">
        <f aca="false">K34+K32</f>
        <v>35226.5</v>
      </c>
      <c r="L35" s="22" t="n">
        <f aca="false">L34+L32</f>
        <v>49373</v>
      </c>
      <c r="M35" s="22" t="n">
        <f aca="false">M34+M32</f>
        <v>65333</v>
      </c>
      <c r="N35" s="22" t="n">
        <f aca="false">N34+N32</f>
        <v>83106.5</v>
      </c>
      <c r="O35" s="22" t="n">
        <f aca="false">O34+O32</f>
        <v>104744</v>
      </c>
      <c r="P35" s="22" t="n">
        <f aca="false">P34+P32</f>
        <v>130706</v>
      </c>
      <c r="Q35" s="22" t="n">
        <f aca="false">Q34+Q32</f>
        <v>160853</v>
      </c>
      <c r="R35" s="22" t="n">
        <f aca="false">R34+R32</f>
        <v>195045.5</v>
      </c>
      <c r="S35" s="22" t="n">
        <f aca="false">S34+S32</f>
        <v>233004.5</v>
      </c>
      <c r="T35" s="22" t="n">
        <f aca="false">T34+T32</f>
        <v>274590.5</v>
      </c>
      <c r="U35" s="22" t="n">
        <f aca="false">U34+U32</f>
        <v>319664</v>
      </c>
      <c r="V35" s="22" t="n">
        <f aca="false">V34+V32</f>
        <v>368085.5</v>
      </c>
      <c r="W35" s="22" t="n">
        <f aca="false">W34+W32</f>
        <v>419715.5</v>
      </c>
      <c r="X35" s="22" t="n">
        <f aca="false">X34+X32</f>
        <v>474414.5</v>
      </c>
      <c r="Y35" s="22" t="n">
        <f aca="false">Y34+Y32</f>
        <v>532182.5</v>
      </c>
      <c r="Z35" s="22" t="n">
        <f aca="false">Z34+Z32</f>
        <v>592880</v>
      </c>
      <c r="AA35" s="22" t="n">
        <f aca="false">AA34+AA32</f>
        <v>658557.5</v>
      </c>
      <c r="AB35" s="22" t="n">
        <f aca="false">AB34+AB32</f>
        <v>729536</v>
      </c>
      <c r="AC35" s="22" t="n">
        <f aca="false">AC34+AC32</f>
        <v>805676</v>
      </c>
      <c r="AD35" s="22" t="n">
        <f aca="false">AD34+AD32</f>
        <v>886698.5</v>
      </c>
      <c r="AE35" s="22" t="n">
        <f aca="false">AE34+AE32</f>
        <v>972464</v>
      </c>
      <c r="AF35" s="22" t="n">
        <f aca="false">AF34+AF32</f>
        <v>1062693.5</v>
      </c>
      <c r="AG35" s="22" t="n">
        <f aca="false">AG34+AG32</f>
        <v>1157247.5</v>
      </c>
      <c r="AH35" s="22" t="n">
        <f aca="false">AH34+AH32</f>
        <v>1255986.5</v>
      </c>
      <c r="AI35" s="22" t="n">
        <f aca="false">AI34+AI32</f>
        <v>1358771</v>
      </c>
      <c r="AJ35" s="22" t="n">
        <f aca="false">AJ34+AJ32</f>
        <v>1465461.5</v>
      </c>
      <c r="AK35" s="22" t="n">
        <f aca="false">AK34+AK32</f>
        <v>1575779</v>
      </c>
      <c r="AL35" s="22" t="n">
        <f aca="false">AL34+AL32</f>
        <v>1689584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5" min="3" style="0" width="15"/>
  </cols>
  <sheetData>
    <row r="1" customFormat="false" ht="17.35" hidden="false" customHeight="false" outlineLevel="0" collapsed="false">
      <c r="B1" s="1" t="s">
        <v>70</v>
      </c>
    </row>
    <row r="2" customFormat="false" ht="15" hidden="false" customHeight="false" outlineLevel="0" collapsed="false">
      <c r="B2" s="2" t="s">
        <v>71</v>
      </c>
    </row>
    <row r="4" customFormat="false" ht="15" hidden="false" customHeight="false" outlineLevel="0" collapsed="false">
      <c r="B4" s="2" t="s">
        <v>72</v>
      </c>
      <c r="C4" s="25" t="s">
        <v>73</v>
      </c>
      <c r="D4" s="25" t="s">
        <v>74</v>
      </c>
      <c r="E4" s="25" t="s">
        <v>75</v>
      </c>
    </row>
    <row r="6" customFormat="false" ht="15" hidden="false" customHeight="false" outlineLevel="0" collapsed="false">
      <c r="B6" s="16" t="s">
        <v>45</v>
      </c>
      <c r="C6" s="17"/>
      <c r="D6" s="17"/>
      <c r="E6" s="17"/>
    </row>
    <row r="7" customFormat="false" ht="15" hidden="false" customHeight="false" outlineLevel="0" collapsed="false">
      <c r="B7" s="4" t="s">
        <v>76</v>
      </c>
      <c r="C7" s="19" t="n">
        <f aca="false">SUM('Monthly Model'!C9:N9)</f>
        <v>24</v>
      </c>
      <c r="D7" s="19" t="n">
        <f aca="false">SUM('Monthly Model'!O9:Z9)</f>
        <v>48</v>
      </c>
      <c r="E7" s="19" t="n">
        <f aca="false">SUM('Monthly Model'!AA9:AL9)</f>
        <v>72</v>
      </c>
    </row>
    <row r="8" customFormat="false" ht="15" hidden="false" customHeight="false" outlineLevel="0" collapsed="false">
      <c r="B8" s="13" t="s">
        <v>49</v>
      </c>
      <c r="C8" s="20" t="n">
        <f aca="false">'Monthly Model'!N11</f>
        <v>19.3</v>
      </c>
      <c r="D8" s="20" t="n">
        <f aca="false">'Monthly Model'!Z11</f>
        <v>50.5</v>
      </c>
      <c r="E8" s="20" t="n">
        <f aca="false">'Monthly Model'!AL11</f>
        <v>89</v>
      </c>
    </row>
    <row r="9" customFormat="false" ht="15" hidden="false" customHeight="false" outlineLevel="0" collapsed="false">
      <c r="B9" s="13" t="s">
        <v>77</v>
      </c>
      <c r="C9" s="22" t="n">
        <f aca="false">'Monthly Model'!N11*Assumptions!$C$9*12</f>
        <v>347400</v>
      </c>
      <c r="D9" s="22" t="n">
        <f aca="false">'Monthly Model'!Z11*Assumptions!$C$9*12</f>
        <v>909000</v>
      </c>
      <c r="E9" s="22" t="n">
        <f aca="false">'Monthly Model'!AL11*Assumptions!$C$9*12</f>
        <v>1602000</v>
      </c>
    </row>
    <row r="11" customFormat="false" ht="15" hidden="false" customHeight="false" outlineLevel="0" collapsed="false">
      <c r="B11" s="16" t="s">
        <v>78</v>
      </c>
      <c r="C11" s="17"/>
      <c r="D11" s="17"/>
      <c r="E11" s="17"/>
    </row>
    <row r="12" customFormat="false" ht="15" hidden="false" customHeight="false" outlineLevel="0" collapsed="false">
      <c r="B12" s="13" t="s">
        <v>52</v>
      </c>
      <c r="C12" s="22" t="n">
        <f aca="false">SUM('Monthly Model'!C15:N15)</f>
        <v>202050</v>
      </c>
      <c r="D12" s="22" t="n">
        <f aca="false">SUM('Monthly Model'!O15:Z15)</f>
        <v>673950</v>
      </c>
      <c r="E12" s="22" t="n">
        <f aca="false">SUM('Monthly Model'!AA15:AL15)</f>
        <v>1312800</v>
      </c>
    </row>
    <row r="13" customFormat="false" ht="15" hidden="false" customHeight="false" outlineLevel="0" collapsed="false">
      <c r="B13" s="4" t="s">
        <v>58</v>
      </c>
      <c r="C13" s="21" t="n">
        <f aca="false">SUM('Monthly Model'!C22:N22)</f>
        <v>187306.5</v>
      </c>
      <c r="D13" s="21" t="n">
        <f aca="false">SUM('Monthly Model'!O22:Z22)</f>
        <v>626173.5</v>
      </c>
      <c r="E13" s="21" t="n">
        <f aca="false">SUM('Monthly Model'!AA22:AL22)</f>
        <v>1220304</v>
      </c>
    </row>
    <row r="14" customFormat="false" ht="15" hidden="false" customHeight="false" outlineLevel="0" collapsed="false">
      <c r="B14" s="2" t="s">
        <v>59</v>
      </c>
      <c r="C14" s="24" t="n">
        <f aca="false">IF(C12=0,0,C13/C12)</f>
        <v>0.927030438010393</v>
      </c>
      <c r="D14" s="24" t="n">
        <f aca="false">IF(D12=0,0,D13/D12)</f>
        <v>0.929109726240819</v>
      </c>
      <c r="E14" s="24" t="n">
        <f aca="false">IF(E12=0,0,E13/E12)</f>
        <v>0.929542961608775</v>
      </c>
    </row>
    <row r="15" customFormat="false" ht="15" hidden="false" customHeight="false" outlineLevel="0" collapsed="false">
      <c r="B15" s="13" t="s">
        <v>66</v>
      </c>
      <c r="C15" s="22" t="n">
        <f aca="false">SUM('Monthly Model'!C32:N32)</f>
        <v>78106.5</v>
      </c>
      <c r="D15" s="22" t="n">
        <f aca="false">SUM('Monthly Model'!O32:Z32)</f>
        <v>509773.5</v>
      </c>
      <c r="E15" s="22" t="n">
        <f aca="false">SUM('Monthly Model'!AA32:AL32)</f>
        <v>1096704</v>
      </c>
    </row>
    <row r="16" customFormat="false" ht="15" hidden="false" customHeight="false" outlineLevel="0" collapsed="false">
      <c r="B16" s="2" t="s">
        <v>67</v>
      </c>
      <c r="C16" s="24" t="n">
        <f aca="false">IF(C12=0,0,C15/C12)</f>
        <v>0.386570155902004</v>
      </c>
      <c r="D16" s="24" t="n">
        <f aca="false">IF(D12=0,0,D15/D12)</f>
        <v>0.756396616959715</v>
      </c>
      <c r="E16" s="24" t="n">
        <f aca="false">IF(E12=0,0,E15/E12)</f>
        <v>0.835393053016453</v>
      </c>
    </row>
    <row r="17" customFormat="false" ht="15" hidden="false" customHeight="false" outlineLevel="0" collapsed="false">
      <c r="B17" s="13" t="s">
        <v>69</v>
      </c>
      <c r="C17" s="22" t="n">
        <f aca="false">'Monthly Model'!N35</f>
        <v>83106.5</v>
      </c>
      <c r="D17" s="22" t="n">
        <f aca="false">'Monthly Model'!Z35</f>
        <v>592880</v>
      </c>
      <c r="E17" s="22" t="n">
        <f aca="false">'Monthly Model'!AL35</f>
        <v>1689584</v>
      </c>
    </row>
    <row r="19" customFormat="false" ht="15" hidden="false" customHeight="false" outlineLevel="0" collapsed="false">
      <c r="B19" s="16" t="s">
        <v>79</v>
      </c>
      <c r="C19" s="17"/>
      <c r="D19" s="17"/>
      <c r="E19" s="17"/>
    </row>
    <row r="20" customFormat="false" ht="15" hidden="false" customHeight="false" outlineLevel="0" collapsed="false">
      <c r="B20" s="4" t="s">
        <v>80</v>
      </c>
      <c r="C20" s="21" t="n">
        <f aca="false">E9</f>
        <v>1602000</v>
      </c>
    </row>
    <row r="21" customFormat="false" ht="15" hidden="false" customHeight="false" outlineLevel="0" collapsed="false">
      <c r="B21" s="4" t="s">
        <v>81</v>
      </c>
      <c r="C21" s="26" t="n">
        <f aca="false">Assumptions!$C$28</f>
        <v>3</v>
      </c>
    </row>
    <row r="22" customFormat="false" ht="15" hidden="false" customHeight="false" outlineLevel="0" collapsed="false">
      <c r="B22" s="13" t="s">
        <v>82</v>
      </c>
      <c r="C22" s="27" t="n">
        <f aca="false">C20*C21</f>
        <v>4806000</v>
      </c>
    </row>
    <row r="24" customFormat="false" ht="15" hidden="false" customHeight="false" outlineLevel="0" collapsed="false">
      <c r="B24" s="3" t="s">
        <v>83</v>
      </c>
    </row>
    <row r="25" customFormat="false" ht="15" hidden="false" customHeight="true" outlineLevel="0" collapsed="false">
      <c r="B25" s="28" t="s">
        <v>84</v>
      </c>
      <c r="C25" s="28"/>
      <c r="D25" s="28"/>
      <c r="E25" s="28"/>
    </row>
    <row r="26" customFormat="false" ht="15" hidden="false" customHeight="false" outlineLevel="0" collapsed="false">
      <c r="B26" s="28"/>
      <c r="C26" s="28"/>
      <c r="D26" s="28"/>
      <c r="E26" s="28"/>
    </row>
    <row r="27" customFormat="false" ht="15" hidden="false" customHeight="false" outlineLevel="0" collapsed="false">
      <c r="B27" s="28"/>
      <c r="C27" s="28"/>
      <c r="D27" s="28"/>
      <c r="E27" s="28"/>
    </row>
    <row r="28" customFormat="false" ht="15" hidden="false" customHeight="false" outlineLevel="0" collapsed="false">
      <c r="B28" s="28"/>
      <c r="C28" s="28"/>
      <c r="D28" s="28"/>
      <c r="E28" s="28"/>
    </row>
    <row r="29" customFormat="false" ht="15" hidden="false" customHeight="false" outlineLevel="0" collapsed="false">
      <c r="B29" s="28"/>
      <c r="C29" s="28"/>
      <c r="D29" s="28"/>
      <c r="E29" s="28"/>
    </row>
    <row r="30" customFormat="false" ht="15" hidden="false" customHeight="false" outlineLevel="0" collapsed="false">
      <c r="B30" s="28"/>
      <c r="C30" s="28"/>
      <c r="D30" s="28"/>
      <c r="E30" s="28"/>
    </row>
  </sheetData>
  <mergeCells count="1">
    <mergeCell ref="B25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2026-07-22T23:04:27Z</dcterms:created>
  <dc:creator>openpyxl</dc:creator>
  <dc:description/>
  <dc:language>en-US</dc:language>
  <cp:lastModifiedBy/>
  <dcterms:modified xsi:type="dcterms:W3CDTF">2026-07-22T23:04:27Z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