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<sst xmlns="http://schemas.openxmlformats.org/spreadsheetml/2006/main" count="61" uniqueCount="60">
  <si>
    <t xml:space="preserve">Agency Owner Outreach Tracker — White-Label AI Infrastructure License</t>
  </si>
  <si>
    <t xml:space="preserve">Fill one row per prospect. Yellow columns are the ones you update as you work the sequence (dates in DM/Email columns, Replied?, Call booked, Status). Sequences live in marketing/OUTREACH-CAMPAIGN.md.</t>
  </si>
  <si>
    <t xml:space="preserve">#</t>
  </si>
  <si>
    <t xml:space="preserve">Name</t>
  </si>
  <si>
    <t xml:space="preserve">Title</t>
  </si>
  <si>
    <t xml:space="preserve">Company</t>
  </si>
  <si>
    <t xml:space="preserve">Employees</t>
  </si>
  <si>
    <t xml:space="preserve">Website</t>
  </si>
  <si>
    <t xml:space="preserve">LinkedIn URL</t>
  </si>
  <si>
    <t xml:space="preserve">Email</t>
  </si>
  <si>
    <t xml:space="preserve">Source</t>
  </si>
  <si>
    <t xml:space="preserve">Signal (funding/growth)</t>
  </si>
  <si>
    <t xml:space="preserve">DM1</t>
  </si>
  <si>
    <t xml:space="preserve">DM2</t>
  </si>
  <si>
    <t xml:space="preserve">DM3</t>
  </si>
  <si>
    <t xml:space="preserve">Email1</t>
  </si>
  <si>
    <t xml:space="preserve">Email2</t>
  </si>
  <si>
    <t xml:space="preserve">Email3</t>
  </si>
  <si>
    <t xml:space="preserve">Replied?</t>
  </si>
  <si>
    <t xml:space="preserve">Call booked</t>
  </si>
  <si>
    <t xml:space="preserve">Tier interest</t>
  </si>
  <si>
    <t xml:space="preserve">Status</t>
  </si>
  <si>
    <t xml:space="preserve">Notes</t>
  </si>
  <si>
    <t xml:space="preserve">Jane Doe</t>
  </si>
  <si>
    <t xml:space="preserve">Founder</t>
  </si>
  <si>
    <t xml:space="preserve">Acme Growth Agency</t>
  </si>
  <si>
    <t xml:space="preserve">acmegrowth.com</t>
  </si>
  <si>
    <t xml:space="preserve">linkedin.com/in/janedoe</t>
  </si>
  <si>
    <t xml:space="preserve">jane@acmegrowth.com</t>
  </si>
  <si>
    <t xml:space="preserve">Apollo</t>
  </si>
  <si>
    <t xml:space="preserve">Posted Series A last week</t>
  </si>
  <si>
    <t xml:space="preserve">07/23</t>
  </si>
  <si>
    <t xml:space="preserve">N</t>
  </si>
  <si>
    <t xml:space="preserve">A</t>
  </si>
  <si>
    <t xml:space="preserve">Contacted</t>
  </si>
  <si>
    <t xml:space="preserve">Replied-warm on DM1; sent email1 same day</t>
  </si>
  <si>
    <t xml:space="preserve">Outreach Dashboard</t>
  </si>
  <si>
    <t xml:space="preserve">Live counts — auto-update as you fill the Leads tab.</t>
  </si>
  <si>
    <t xml:space="preserve">Prospects loaded</t>
  </si>
  <si>
    <t xml:space="preserve">Contacted (DM1 or Email1 sent)</t>
  </si>
  <si>
    <t xml:space="preserve">Replied (Y)</t>
  </si>
  <si>
    <t xml:space="preserve">Calls booked</t>
  </si>
  <si>
    <t xml:space="preserve">Won</t>
  </si>
  <si>
    <t xml:space="preserve">Lost</t>
  </si>
  <si>
    <t xml:space="preserve">Opted-out</t>
  </si>
  <si>
    <t xml:space="preserve">Tier A interest</t>
  </si>
  <si>
    <t xml:space="preserve">Tier B interest</t>
  </si>
  <si>
    <t xml:space="preserve">Reply rate</t>
  </si>
  <si>
    <t xml:space="preserve">Booked rate (of contacted)</t>
  </si>
  <si>
    <t xml:space="preserve">Goal: first 5 calls booked this week.</t>
  </si>
  <si>
    <t xml:space="preserve">How to use this tracker</t>
  </si>
  <si>
    <t xml:space="preserve">1. Pull 50 agency owners (Apollo / LinkedIn). Target: 5–20 employees, recent funding or growth posts.</t>
  </si>
  <si>
    <t xml:space="preserve">2. Paste one prospect per row on the Leads tab, starting at row 6 (row 5 is a green example — overwrite or delete it).</t>
  </si>
  <si>
    <t xml:space="preserve">3. Work the sequence from marketing/OUTREACH-CAMPAIGN.md. Put the SEND DATE in each DM/Email column as you go.</t>
  </si>
  <si>
    <t xml:space="preserve">4. Set 'Replied?' to Y on any reply, then stop the sequence and respond personally.</t>
  </si>
  <si>
    <t xml:space="preserve">5. Put the date in 'Call booked' when you land a call. Update 'Status' from the dropdown.</t>
  </si>
  <si>
    <t xml:space="preserve">6. On a sale: deliver access via GitHub repo invite, set Status = Won.</t>
  </si>
  <si>
    <t xml:space="preserve">7. On a stop/unsubscribe: set Status = Opted-out and add them to the do-not-contact list (see CLAUDE.md).</t>
  </si>
  <si>
    <t xml:space="preserve">The Dashboard tab totals everything automatically — watch 'Calls booked' hit 5.</t>
  </si>
  <si>
    <t xml:space="preserve">Yellow header columns are the ones you update per prospect; the rest is contact data you paste once.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</si>
</sst>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CA583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1"/>
      <color rgb="FF1CA583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08900"/>
        <bgColor rgb="FFFF9900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89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1CA58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8" min="7" style="0" width="26"/>
    <col collapsed="false" customWidth="true" hidden="false" outlineLevel="0" max="9" min="9" style="0" width="12"/>
    <col collapsed="false" customWidth="true" hidden="false" outlineLevel="0" max="10" min="10" style="0" width="22"/>
    <col collapsed="false" customWidth="true" hidden="false" outlineLevel="0" max="17" min="11" style="0" width="10"/>
    <col collapsed="false" customWidth="true" hidden="false" outlineLevel="0" max="19" min="18" style="0" width="12"/>
    <col collapsed="false" customWidth="true" hidden="false" outlineLevel="0" max="20" min="20" style="0" width="14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3" t="s">
        <v>20</v>
      </c>
      <c r="T4" s="4" t="s">
        <v>21</v>
      </c>
      <c r="U4" s="3" t="s">
        <v>22</v>
      </c>
    </row>
    <row r="5" customFormat="false" ht="15" hidden="false" customHeight="false" outlineLevel="0" collapsed="false">
      <c r="A5" s="5" t="n">
        <v>1</v>
      </c>
      <c r="B5" s="6" t="s">
        <v>23</v>
      </c>
      <c r="C5" s="6" t="s">
        <v>24</v>
      </c>
      <c r="D5" s="6" t="s">
        <v>25</v>
      </c>
      <c r="E5" s="5" t="n">
        <v>12</v>
      </c>
      <c r="F5" s="6" t="s">
        <v>26</v>
      </c>
      <c r="G5" s="6" t="s">
        <v>27</v>
      </c>
      <c r="H5" s="6" t="s">
        <v>28</v>
      </c>
      <c r="I5" s="5" t="s">
        <v>29</v>
      </c>
      <c r="J5" s="6" t="s">
        <v>30</v>
      </c>
      <c r="K5" s="5" t="s">
        <v>31</v>
      </c>
      <c r="L5" s="5"/>
      <c r="M5" s="5"/>
      <c r="N5" s="5" t="s">
        <v>31</v>
      </c>
      <c r="O5" s="5"/>
      <c r="P5" s="5"/>
      <c r="Q5" s="5" t="s">
        <v>32</v>
      </c>
      <c r="R5" s="5"/>
      <c r="S5" s="5" t="s">
        <v>33</v>
      </c>
      <c r="T5" s="5" t="s">
        <v>34</v>
      </c>
      <c r="U5" s="6" t="s">
        <v>35</v>
      </c>
    </row>
    <row r="6" customFormat="false" ht="15" hidden="false" customHeight="false" outlineLevel="0" collapsed="false">
      <c r="A6" s="7" t="n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customFormat="false" ht="15" hidden="false" customHeight="false" outlineLevel="0" collapsed="false">
      <c r="A7" s="9" t="n">
        <v>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n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customFormat="false" ht="15" hidden="false" customHeight="false" outlineLevel="0" collapsed="false">
      <c r="A9" s="9" t="n">
        <v>5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n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customFormat="false" ht="15" hidden="false" customHeight="false" outlineLevel="0" collapsed="false">
      <c r="A11" s="9" t="n">
        <v>7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customFormat="false" ht="15" hidden="false" customHeight="false" outlineLevel="0" collapsed="false">
      <c r="A12" s="7" t="n">
        <v>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customFormat="false" ht="15" hidden="false" customHeight="false" outlineLevel="0" collapsed="false">
      <c r="A13" s="9" t="n">
        <v>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5" hidden="false" customHeight="false" outlineLevel="0" collapsed="false">
      <c r="A14" s="7" t="n">
        <v>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customFormat="false" ht="15" hidden="false" customHeight="false" outlineLevel="0" collapsed="false">
      <c r="A15" s="9" t="n">
        <v>11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customFormat="false" ht="15" hidden="false" customHeight="false" outlineLevel="0" collapsed="false">
      <c r="A16" s="7" t="n">
        <v>12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customFormat="false" ht="15" hidden="false" customHeight="false" outlineLevel="0" collapsed="false">
      <c r="A17" s="9" t="n">
        <v>13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customFormat="false" ht="15" hidden="false" customHeight="false" outlineLevel="0" collapsed="false">
      <c r="A18" s="7" t="n">
        <v>14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customFormat="false" ht="15" hidden="false" customHeight="false" outlineLevel="0" collapsed="false">
      <c r="A19" s="9" t="n">
        <v>15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customFormat="false" ht="15" hidden="false" customHeight="false" outlineLevel="0" collapsed="false">
      <c r="A20" s="7" t="n">
        <v>16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customFormat="false" ht="15" hidden="false" customHeight="false" outlineLevel="0" collapsed="false">
      <c r="A21" s="9" t="n">
        <v>17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customFormat="false" ht="15" hidden="false" customHeight="false" outlineLevel="0" collapsed="false">
      <c r="A22" s="7" t="n">
        <v>18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customFormat="false" ht="15" hidden="false" customHeight="false" outlineLevel="0" collapsed="false">
      <c r="A23" s="9" t="n">
        <v>19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customFormat="false" ht="15" hidden="false" customHeight="false" outlineLevel="0" collapsed="false">
      <c r="A24" s="7" t="n">
        <v>20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customFormat="false" ht="15" hidden="false" customHeight="false" outlineLevel="0" collapsed="false">
      <c r="A25" s="9" t="n">
        <v>21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customFormat="false" ht="15" hidden="false" customHeight="false" outlineLevel="0" collapsed="false">
      <c r="A26" s="7" t="n">
        <v>22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customFormat="false" ht="15" hidden="false" customHeight="false" outlineLevel="0" collapsed="false">
      <c r="A27" s="9" t="n">
        <v>23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customFormat="false" ht="15" hidden="false" customHeight="false" outlineLevel="0" collapsed="false">
      <c r="A28" s="7" t="n">
        <v>24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customFormat="false" ht="15" hidden="false" customHeight="false" outlineLevel="0" collapsed="false">
      <c r="A29" s="9" t="n">
        <v>25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5" hidden="false" customHeight="false" outlineLevel="0" collapsed="false">
      <c r="A30" s="7" t="n">
        <v>26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customFormat="false" ht="15" hidden="false" customHeight="false" outlineLevel="0" collapsed="false">
      <c r="A31" s="9" t="n">
        <v>27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customFormat="false" ht="15" hidden="false" customHeight="false" outlineLevel="0" collapsed="false">
      <c r="A32" s="7" t="n">
        <v>28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customFormat="false" ht="15" hidden="false" customHeight="false" outlineLevel="0" collapsed="false">
      <c r="A33" s="9" t="n">
        <v>29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customFormat="false" ht="15" hidden="false" customHeight="false" outlineLevel="0" collapsed="false">
      <c r="A34" s="7" t="n">
        <v>30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customFormat="false" ht="15" hidden="false" customHeight="false" outlineLevel="0" collapsed="false">
      <c r="A35" s="9" t="n">
        <v>31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customFormat="false" ht="15" hidden="false" customHeight="false" outlineLevel="0" collapsed="false">
      <c r="A36" s="7" t="n">
        <v>32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customFormat="false" ht="15" hidden="false" customHeight="false" outlineLevel="0" collapsed="false">
      <c r="A37" s="9" t="n">
        <v>33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customFormat="false" ht="15" hidden="false" customHeight="false" outlineLevel="0" collapsed="false">
      <c r="A38" s="7" t="n">
        <v>34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customFormat="false" ht="15" hidden="false" customHeight="false" outlineLevel="0" collapsed="false">
      <c r="A39" s="9" t="n">
        <v>35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customFormat="false" ht="15" hidden="false" customHeight="false" outlineLevel="0" collapsed="false">
      <c r="A40" s="7" t="n">
        <v>36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customFormat="false" ht="15" hidden="false" customHeight="false" outlineLevel="0" collapsed="false">
      <c r="A41" s="9" t="n">
        <v>37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customFormat="false" ht="15" hidden="false" customHeight="false" outlineLevel="0" collapsed="false">
      <c r="A42" s="7" t="n">
        <v>38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customFormat="false" ht="15" hidden="false" customHeight="false" outlineLevel="0" collapsed="false">
      <c r="A43" s="9" t="n">
        <v>39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customFormat="false" ht="15" hidden="false" customHeight="false" outlineLevel="0" collapsed="false">
      <c r="A44" s="7" t="n">
        <v>40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customFormat="false" ht="15" hidden="false" customHeight="false" outlineLevel="0" collapsed="false">
      <c r="A45" s="9" t="n">
        <v>41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customFormat="false" ht="15" hidden="false" customHeight="false" outlineLevel="0" collapsed="false">
      <c r="A46" s="7" t="n">
        <v>42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customFormat="false" ht="15" hidden="false" customHeight="false" outlineLevel="0" collapsed="false">
      <c r="A47" s="9" t="n">
        <v>43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customFormat="false" ht="15" hidden="false" customHeight="false" outlineLevel="0" collapsed="false">
      <c r="A48" s="7" t="n">
        <v>44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customFormat="false" ht="15" hidden="false" customHeight="false" outlineLevel="0" collapsed="false">
      <c r="A49" s="9" t="n">
        <v>45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customFormat="false" ht="15" hidden="false" customHeight="false" outlineLevel="0" collapsed="false">
      <c r="A50" s="7" t="n">
        <v>46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customFormat="false" ht="15" hidden="false" customHeight="false" outlineLevel="0" collapsed="false">
      <c r="A51" s="9" t="n">
        <v>47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customFormat="false" ht="15" hidden="false" customHeight="false" outlineLevel="0" collapsed="false">
      <c r="A52" s="7" t="n">
        <v>48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customFormat="false" ht="15" hidden="false" customHeight="false" outlineLevel="0" collapsed="false">
      <c r="A53" s="9" t="n">
        <v>49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customFormat="false" ht="15" hidden="false" customHeight="false" outlineLevel="0" collapsed="false">
      <c r="A54" s="7" t="n">
        <v>50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customFormat="false" ht="15" hidden="false" customHeight="false" outlineLevel="0" collapsed="false">
      <c r="A55" s="9" t="n">
        <v>51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customFormat="false" ht="15" hidden="false" customHeight="false" outlineLevel="0" collapsed="false">
      <c r="A56" s="7" t="n">
        <v>52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customFormat="false" ht="15" hidden="false" customHeight="false" outlineLevel="0" collapsed="false">
      <c r="A57" s="9" t="n">
        <v>53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customFormat="false" ht="15" hidden="false" customHeight="false" outlineLevel="0" collapsed="false">
      <c r="A58" s="7" t="n">
        <v>54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customFormat="false" ht="15" hidden="false" customHeight="false" outlineLevel="0" collapsed="false">
      <c r="A59" s="9" t="n">
        <v>55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customFormat="false" ht="15" hidden="false" customHeight="false" outlineLevel="0" collapsed="false">
      <c r="A60" s="7" t="n">
        <v>56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</sheetData>
  <mergeCells count="2">
    <mergeCell ref="A1:U1"/>
    <mergeCell ref="A2:U2"/>
  </mergeCells>
  <dataValidations count="4">
    <dataValidation allowBlank="true" errorStyle="stop" operator="between" showDropDown="false" showErrorMessage="false" showInputMessage="false" sqref="T5:T60" type="list">
      <formula1>"New,Contacted,Replied,Booked,Won,Lost,Opted-out"</formula1>
      <formula2>0</formula2>
    </dataValidation>
    <dataValidation allowBlank="true" errorStyle="stop" operator="between" showDropDown="false" showErrorMessage="false" showInputMessage="false" sqref="S5:S60" type="list">
      <formula1>"A,B,A or B,Undecided"</formula1>
      <formula2>0</formula2>
    </dataValidation>
    <dataValidation allowBlank="true" errorStyle="stop" operator="between" showDropDown="false" showErrorMessage="false" showInputMessage="false" sqref="Q5:Q60" type="list">
      <formula1>"Y,N"</formula1>
      <formula2>0</formula2>
    </dataValidation>
    <dataValidation allowBlank="true" errorStyle="stop" operator="between" showDropDown="false" showErrorMessage="false" showInputMessage="false" sqref="I5:I60" type="list">
      <formula1>"Apollo,LinkedIn,Referral,Other"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</cols>
  <sheetData>
    <row r="2" customFormat="false" ht="19.7" hidden="false" customHeight="false" outlineLevel="0" collapsed="false">
      <c r="B2" s="11" t="s">
        <v>36</v>
      </c>
    </row>
    <row r="3" customFormat="false" ht="15" hidden="false" customHeight="false" outlineLevel="0" collapsed="false">
      <c r="B3" s="12" t="s">
        <v>37</v>
      </c>
    </row>
    <row r="5" customFormat="false" ht="15" hidden="false" customHeight="false" outlineLevel="0" collapsed="false">
      <c r="B5" s="13" t="s">
        <v>38</v>
      </c>
      <c r="C5" s="14" t="n">
        <f aca="false">COUNTA(Leads!B6:B60)</f>
        <v>0</v>
      </c>
    </row>
    <row r="6" customFormat="false" ht="15" hidden="false" customHeight="false" outlineLevel="0" collapsed="false">
      <c r="B6" s="13" t="s">
        <v>39</v>
      </c>
      <c r="C6" s="14" t="n">
        <f aca="false">SUMPRODUCT(--((Leads!K6:K60&lt;&gt;"")+(Leads!N6:N60&lt;&gt;"")&gt;0))</f>
        <v>0</v>
      </c>
    </row>
    <row r="7" customFormat="false" ht="15" hidden="false" customHeight="false" outlineLevel="0" collapsed="false">
      <c r="B7" s="13" t="s">
        <v>40</v>
      </c>
      <c r="C7" s="14" t="n">
        <f aca="false">COUNTIF(Leads!Q6:Q60,"Y")</f>
        <v>0</v>
      </c>
    </row>
    <row r="8" customFormat="false" ht="15" hidden="false" customHeight="false" outlineLevel="0" collapsed="false">
      <c r="B8" s="13" t="s">
        <v>41</v>
      </c>
      <c r="C8" s="14" t="n">
        <f aca="false">COUNTA(Leads!R6:R60)</f>
        <v>0</v>
      </c>
    </row>
    <row r="9" customFormat="false" ht="15" hidden="false" customHeight="false" outlineLevel="0" collapsed="false">
      <c r="B9" s="13" t="s">
        <v>42</v>
      </c>
      <c r="C9" s="14" t="n">
        <f aca="false">COUNTIF(Leads!T6:T60,"Won")</f>
        <v>0</v>
      </c>
    </row>
    <row r="10" customFormat="false" ht="15" hidden="false" customHeight="false" outlineLevel="0" collapsed="false">
      <c r="B10" s="13" t="s">
        <v>43</v>
      </c>
      <c r="C10" s="14" t="n">
        <f aca="false">COUNTIF(Leads!T6:T60,"Lost")</f>
        <v>0</v>
      </c>
    </row>
    <row r="11" customFormat="false" ht="15" hidden="false" customHeight="false" outlineLevel="0" collapsed="false">
      <c r="B11" s="13" t="s">
        <v>44</v>
      </c>
      <c r="C11" s="14" t="n">
        <f aca="false">COUNTIF(Leads!T6:T60,"Opted-out")</f>
        <v>0</v>
      </c>
    </row>
    <row r="12" customFormat="false" ht="15" hidden="false" customHeight="false" outlineLevel="0" collapsed="false">
      <c r="B12" s="13" t="s">
        <v>45</v>
      </c>
      <c r="C12" s="14" t="n">
        <f aca="false">COUNTIF(Leads!S6:S60,"A")</f>
        <v>0</v>
      </c>
    </row>
    <row r="13" customFormat="false" ht="15" hidden="false" customHeight="false" outlineLevel="0" collapsed="false">
      <c r="B13" s="13" t="s">
        <v>46</v>
      </c>
      <c r="C13" s="14" t="n">
        <f aca="false">COUNTIF(Leads!S6:S60,"B")</f>
        <v>0</v>
      </c>
    </row>
    <row r="15" customFormat="false" ht="15" hidden="false" customHeight="false" outlineLevel="0" collapsed="false">
      <c r="B15" s="13" t="s">
        <v>47</v>
      </c>
      <c r="C15" s="15" t="n">
        <f aca="false">IFERROR(C7/C6,0)</f>
        <v>0</v>
      </c>
    </row>
    <row r="16" customFormat="false" ht="15" hidden="false" customHeight="false" outlineLevel="0" collapsed="false">
      <c r="B16" s="13" t="s">
        <v>48</v>
      </c>
      <c r="C16" s="15" t="n">
        <f aca="false">IFERROR(C8/C6,0)</f>
        <v>0</v>
      </c>
    </row>
    <row r="18" customFormat="false" ht="15" hidden="false" customHeight="false" outlineLevel="0" collapsed="false">
      <c r="B18" s="1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7" t="s">
        <v>50</v>
      </c>
    </row>
    <row r="3" customFormat="false" ht="15" hidden="false" customHeight="false" outlineLevel="0" collapsed="false">
      <c r="B3" s="18"/>
    </row>
    <row r="4" customFormat="false" ht="15" hidden="false" customHeight="false" outlineLevel="0" collapsed="false">
      <c r="B4" s="18" t="s">
        <v>51</v>
      </c>
    </row>
    <row r="5" customFormat="false" ht="15" hidden="false" customHeight="false" outlineLevel="0" collapsed="false">
      <c r="B5" s="18" t="s">
        <v>52</v>
      </c>
    </row>
    <row r="6" customFormat="false" ht="15" hidden="false" customHeight="false" outlineLevel="0" collapsed="false">
      <c r="B6" s="18" t="s">
        <v>53</v>
      </c>
    </row>
    <row r="7" customFormat="false" ht="15" hidden="false" customHeight="false" outlineLevel="0" collapsed="false">
      <c r="B7" s="18" t="s">
        <v>54</v>
      </c>
    </row>
    <row r="8" customFormat="false" ht="15" hidden="false" customHeight="false" outlineLevel="0" collapsed="false">
      <c r="B8" s="18" t="s">
        <v>55</v>
      </c>
    </row>
    <row r="9" customFormat="false" ht="15" hidden="false" customHeight="false" outlineLevel="0" collapsed="false">
      <c r="B9" s="18" t="s">
        <v>56</v>
      </c>
    </row>
    <row r="10" customFormat="false" ht="15" hidden="false" customHeight="false" outlineLevel="0" collapsed="false">
      <c r="B10" s="18" t="s">
        <v>57</v>
      </c>
    </row>
    <row r="11" customFormat="false" ht="15" hidden="false" customHeight="false" outlineLevel="0" collapsed="false">
      <c r="B11" s="18"/>
    </row>
    <row r="12" customFormat="false" ht="15" hidden="false" customHeight="false" outlineLevel="0" collapsed="false">
      <c r="B12" s="18" t="s">
        <v>58</v>
      </c>
    </row>
    <row r="13" customFormat="false" ht="15" hidden="false" customHeight="false" outlineLevel="0" collapsed="false">
      <c r="B13" s="1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2026-07-23T15:56:52Z</dcterms:created>
  <dc:creator>openpyxl</dc:creator>
  <dc:description/>
  <dc:language>en-US</dc:language>
  <cp:lastModifiedBy/>
  <dcterms:modified xsi:type="dcterms:W3CDTF">2026-07-23T15:56:52Z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